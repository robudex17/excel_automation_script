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Pendientes - Contrato" sheetId="1" state="visible" r:id="rId1"/>
    <sheet name="Resumen - Contrato" sheetId="2" state="visible" r:id="rId2"/>
    <sheet name="Resumen - Todo" sheetId="3" state="visible" r:id="rId3"/>
    <sheet name="Data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3409]dd\-mmm\-yy;@"/>
    <numFmt numFmtId="165" formatCode="##.00;\-##.00;0.00"/>
    <numFmt numFmtId="166" formatCode="0.0%"/>
  </numFmts>
  <fonts count="17">
    <font>
      <name val="Arial"/>
      <color rgb="FF000000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9"/>
    </font>
    <font>
      <name val="Arial"/>
      <family val="2"/>
      <color rgb="FF333333"/>
      <sz val="9"/>
    </font>
    <font>
      <name val="Arial"/>
      <family val="2"/>
      <color rgb="FF000000"/>
      <sz val="10"/>
    </font>
    <font>
      <name val="Arial"/>
      <family val="2"/>
      <color rgb="FF000000"/>
      <sz val="8"/>
    </font>
    <font>
      <name val="Arial"/>
      <family val="2"/>
      <b val="1"/>
      <color theme="1"/>
      <sz val="8"/>
    </font>
    <font>
      <name val="Arial"/>
      <family val="2"/>
      <color rgb="FF000000"/>
      <sz val="2"/>
    </font>
    <font>
      <name val="Arial"/>
      <family val="2"/>
      <color theme="4" tint="0.7999816888943144"/>
      <sz val="2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color theme="0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theme="0"/>
      <sz val="8"/>
    </font>
    <font>
      <name val="Arial"/>
      <family val="2"/>
      <color theme="4" tint="0.7999816888943144"/>
      <sz val="8"/>
    </font>
  </fonts>
  <fills count="12">
    <fill>
      <patternFill/>
    </fill>
    <fill>
      <patternFill patternType="gray125"/>
    </fill>
    <fill>
      <patternFill patternType="solid">
        <fgColor rgb="FF5B889B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3" tint="0.499984740745262"/>
        <bgColor rgb="FFFFFFFF"/>
      </patternFill>
    </fill>
    <fill>
      <patternFill patternType="solid">
        <fgColor theme="3" tint="0.249977111117893"/>
        <bgColor rgb="FFFFFFFF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"/>
        <bgColor rgb="FFFFFFFF"/>
      </patternFill>
    </fill>
    <fill>
      <patternFill patternType="solid">
        <fgColor theme="4" tint="-0.249977111117893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/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/>
      <top style="thin">
        <color rgb="FFEBEBEB"/>
      </top>
      <bottom style="thin">
        <color rgb="FFEBEBEB"/>
      </bottom>
      <diagonal/>
    </border>
    <border>
      <left/>
      <right style="thin">
        <color rgb="FFEBEBEB"/>
      </right>
      <top style="thin">
        <color rgb="FFEBEBEB"/>
      </top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EBEBEB"/>
      </left>
      <right/>
      <top style="thin">
        <color rgb="FFEBEBEB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/>
    <xf numFmtId="0" fontId="4" fillId="0" borderId="0"/>
  </cellStyleXfs>
  <cellXfs count="77">
    <xf numFmtId="0" fontId="0" fillId="0" borderId="0" pivotButton="0" quotePrefix="0" xfId="0"/>
    <xf numFmtId="0" fontId="3" fillId="4" borderId="0" applyAlignment="1" pivotButton="0" quotePrefix="0" xfId="0">
      <alignment horizontal="left"/>
    </xf>
    <xf numFmtId="49" fontId="3" fillId="0" borderId="3" applyAlignment="1" pivotButton="0" quotePrefix="0" xfId="0">
      <alignment horizontal="left" vertical="center"/>
    </xf>
    <xf numFmtId="49" fontId="3" fillId="0" borderId="4" applyAlignment="1" pivotButton="0" quotePrefix="0" xfId="0">
      <alignment horizontal="left"/>
    </xf>
    <xf numFmtId="164" fontId="3" fillId="0" borderId="4" applyAlignment="1" pivotButton="0" quotePrefix="0" xfId="0">
      <alignment horizontal="left"/>
    </xf>
    <xf numFmtId="0" fontId="3" fillId="0" borderId="4" applyAlignment="1" pivotButton="0" quotePrefix="0" xfId="0">
      <alignment horizontal="right"/>
    </xf>
    <xf numFmtId="165" fontId="3" fillId="0" borderId="4" applyAlignment="1" pivotButton="0" quotePrefix="0" xfId="0">
      <alignment horizontal="right"/>
    </xf>
    <xf numFmtId="164" fontId="3" fillId="0" borderId="4" applyAlignment="1" pivotButton="0" quotePrefix="0" xfId="2">
      <alignment horizontal="left"/>
    </xf>
    <xf numFmtId="0" fontId="3" fillId="0" borderId="4" applyAlignment="1" pivotButton="0" quotePrefix="0" xfId="2">
      <alignment horizontal="left"/>
    </xf>
    <xf numFmtId="0" fontId="3" fillId="0" borderId="5" applyAlignment="1" pivotButton="0" quotePrefix="0" xfId="2">
      <alignment horizontal="left"/>
    </xf>
    <xf numFmtId="0" fontId="3" fillId="0" borderId="2" applyAlignment="1" pivotButton="0" quotePrefix="0" xfId="2">
      <alignment horizontal="left"/>
    </xf>
    <xf numFmtId="49" fontId="3" fillId="0" borderId="6" applyAlignment="1" pivotButton="0" quotePrefix="0" xfId="0">
      <alignment horizontal="left" vertical="center"/>
    </xf>
    <xf numFmtId="49" fontId="3" fillId="0" borderId="7" applyAlignment="1" pivotButton="0" quotePrefix="0" xfId="0">
      <alignment horizontal="left"/>
    </xf>
    <xf numFmtId="164" fontId="3" fillId="0" borderId="7" applyAlignment="1" pivotButton="0" quotePrefix="0" xfId="0">
      <alignment horizontal="left"/>
    </xf>
    <xf numFmtId="0" fontId="3" fillId="0" borderId="7" applyAlignment="1" pivotButton="0" quotePrefix="0" xfId="0">
      <alignment horizontal="right"/>
    </xf>
    <xf numFmtId="165" fontId="3" fillId="0" borderId="7" applyAlignment="1" pivotButton="0" quotePrefix="0" xfId="0">
      <alignment horizontal="right"/>
    </xf>
    <xf numFmtId="0" fontId="3" fillId="0" borderId="4" applyAlignment="1" pivotButton="0" quotePrefix="0" xfId="0">
      <alignment horizontal="left"/>
    </xf>
    <xf numFmtId="164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1" quotePrefix="0" xfId="0"/>
    <xf numFmtId="0" fontId="8" fillId="0" borderId="0" pivotButton="0" quotePrefix="0" xfId="0"/>
    <xf numFmtId="49" fontId="2" fillId="2" borderId="1" applyAlignment="1" pivotButton="0" quotePrefix="0" xfId="0">
      <alignment horizontal="left" vertical="center"/>
    </xf>
    <xf numFmtId="49" fontId="2" fillId="3" borderId="2" applyAlignment="1" pivotButton="0" quotePrefix="0" xfId="0">
      <alignment horizontal="left" vertical="center" wrapText="1"/>
    </xf>
    <xf numFmtId="49" fontId="2" fillId="3" borderId="2" applyAlignment="1" pivotButton="0" quotePrefix="0" xfId="0">
      <alignment horizontal="left" vertical="center"/>
    </xf>
    <xf numFmtId="49" fontId="2" fillId="5" borderId="1" applyAlignment="1" pivotButton="0" quotePrefix="0" xfId="0">
      <alignment horizontal="left" vertical="center"/>
    </xf>
    <xf numFmtId="49" fontId="2" fillId="6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9" fontId="9" fillId="8" borderId="0" applyAlignment="1" pivotButton="0" quotePrefix="0" xfId="1">
      <alignment horizontal="center" vertical="center"/>
    </xf>
    <xf numFmtId="9" fontId="10" fillId="0" borderId="0" applyAlignment="1" pivotButton="0" quotePrefix="0" xfId="1">
      <alignment horizontal="center" vertical="center"/>
    </xf>
    <xf numFmtId="9" fontId="9" fillId="0" borderId="0" applyAlignment="1" pivotButton="0" quotePrefix="0" xfId="1">
      <alignment horizontal="center" vertical="center"/>
    </xf>
    <xf numFmtId="49" fontId="2" fillId="10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49" fontId="2" fillId="11" borderId="1" applyAlignment="1" pivotButton="0" quotePrefix="0" xfId="0">
      <alignment horizontal="left" vertical="center"/>
    </xf>
    <xf numFmtId="0" fontId="3" fillId="0" borderId="5" applyAlignment="1" pivotButton="0" quotePrefix="0" xfId="0">
      <alignment horizontal="left"/>
    </xf>
    <xf numFmtId="1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3" fillId="0" borderId="7" applyAlignment="1" pivotButton="0" quotePrefix="0" xfId="0">
      <alignment horizontal="left"/>
    </xf>
    <xf numFmtId="0" fontId="3" fillId="0" borderId="9" applyAlignment="1" pivotButton="0" quotePrefix="0" xfId="0">
      <alignment horizontal="left"/>
    </xf>
    <xf numFmtId="0" fontId="10" fillId="7" borderId="10" applyAlignment="1" pivotButton="0" quotePrefix="0" xfId="0">
      <alignment horizontal="center" vertical="center"/>
    </xf>
    <xf numFmtId="9" fontId="9" fillId="8" borderId="11" applyAlignment="1" pivotButton="0" quotePrefix="0" xfId="1">
      <alignment horizontal="center" vertical="center"/>
    </xf>
    <xf numFmtId="9" fontId="10" fillId="0" borderId="11" applyAlignment="1" pivotButton="0" quotePrefix="0" xfId="1">
      <alignment horizontal="center" vertical="center"/>
    </xf>
    <xf numFmtId="9" fontId="9" fillId="0" borderId="11" applyAlignment="1" pivotButton="0" quotePrefix="0" xfId="1">
      <alignment horizontal="center" vertical="center"/>
    </xf>
    <xf numFmtId="9" fontId="9" fillId="0" borderId="12" applyAlignment="1" pivotButton="0" quotePrefix="0" xfId="1">
      <alignment horizontal="center" vertical="center"/>
    </xf>
    <xf numFmtId="166" fontId="5" fillId="7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9" fontId="0" fillId="0" borderId="0" applyAlignment="1" pivotButton="0" quotePrefix="0" xfId="1">
      <alignment horizontal="center"/>
    </xf>
    <xf numFmtId="166" fontId="5" fillId="7" borderId="8" applyAlignment="1" pivotButton="0" quotePrefix="0" xfId="1">
      <alignment horizontal="center" vertical="center"/>
    </xf>
    <xf numFmtId="0" fontId="4" fillId="0" borderId="0" pivotButton="0" quotePrefix="0" xfId="0"/>
    <xf numFmtId="0" fontId="14" fillId="0" borderId="0" applyAlignment="1" pivotButton="0" quotePrefix="0" xfId="0">
      <alignment horizontal="center" vertical="center"/>
    </xf>
    <xf numFmtId="9" fontId="13" fillId="0" borderId="0" applyAlignment="1" pivotButton="0" quotePrefix="0" xfId="1">
      <alignment horizontal="center" vertical="center"/>
    </xf>
    <xf numFmtId="9" fontId="14" fillId="0" borderId="0" applyAlignment="1" pivotButton="0" quotePrefix="0" xfId="1">
      <alignment horizontal="center" vertical="center"/>
    </xf>
    <xf numFmtId="0" fontId="16" fillId="0" borderId="0" pivotButton="1" quotePrefix="0" xfId="0"/>
    <xf numFmtId="0" fontId="9" fillId="0" borderId="0" pivotButton="0" quotePrefix="0" xfId="0"/>
    <xf numFmtId="0" fontId="16" fillId="0" borderId="0" pivotButton="0" quotePrefix="0" xfId="0"/>
    <xf numFmtId="0" fontId="5" fillId="0" borderId="0" pivotButton="1" quotePrefix="0" xfId="0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/>
    </xf>
    <xf numFmtId="0" fontId="11" fillId="9" borderId="0" applyAlignment="1" pivotButton="0" quotePrefix="0" xfId="0">
      <alignment horizontal="center"/>
    </xf>
    <xf numFmtId="0" fontId="10" fillId="0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15" fillId="9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3">
    <cellStyle name="Normal" xfId="0" builtinId="0"/>
    <cellStyle name="Percent" xfId="1" builtinId="5"/>
    <cellStyle name="Normal 2" xfId="2"/>
  </cellStyles>
  <dxfs count="200"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2"/>
      </font>
    </dxf>
    <dxf>
      <font>
        <color theme="4" tint="0.7999816888943144"/>
      </font>
    </dxf>
    <dxf>
      <font>
        <color theme="4" tint="0.7999816888943144"/>
      </font>
    </dxf>
    <dxf>
      <font>
        <color theme="4" tint="0.7999816888943144"/>
      </font>
    </dxf>
    <dxf>
      <alignment vertical="center"/>
    </dxf>
    <dxf>
      <alignment vertical="center"/>
    </dxf>
    <dxf>
      <font>
        <color auto="1"/>
      </font>
    </dxf>
    <dxf>
      <font>
        <color theme="4" tint="0.7999816888943144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family val="2"/>
        <color theme="4" tint="0.7999816888943144"/>
        <sz val="2"/>
      </font>
    </dxf>
    <dxf>
      <font>
        <sz val="2"/>
      </font>
    </dxf>
    <dxf>
      <font>
        <sz val="2"/>
      </font>
    </dxf>
    <dxf>
      <font>
        <color theme="4" tint="0.7999816888943144"/>
      </font>
    </dxf>
    <dxf>
      <font>
        <color theme="4" tint="0.7999816888943144"/>
      </font>
    </dxf>
    <dxf>
      <font>
        <sz val="2"/>
      </font>
    </dxf>
    <dxf>
      <font>
        <sz val="2"/>
      </font>
    </dxf>
    <dxf>
      <font>
        <color theme="4" tint="0.7999816888943144"/>
      </font>
    </dxf>
    <dxf>
      <font>
        <color theme="4" tint="0.7999816888943144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center"/>
    </dxf>
    <dxf>
      <font>
        <family val="2"/>
        <sz val="8"/>
      </font>
    </dxf>
    <dxf>
      <font>
        <family val="2"/>
        <sz val="8"/>
      </font>
    </dxf>
    <dxf>
      <alignment horizontal="center"/>
    </dxf>
    <dxf>
      <font>
        <color theme="0"/>
      </font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</dxf>
    <dxf>
      <font>
        <b val="1"/>
        <color theme="0"/>
      </font>
      <fill>
        <patternFill>
          <bgColor rgb="FFFF0000"/>
        </patternFill>
      </fill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/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5" formatCode="##.00;\-##.00;0.00"/>
      <fill>
        <patternFill>
          <fgColor indexed="64"/>
          <bgColor indexed="65"/>
        </patternFill>
      </fill>
      <alignment horizontal="righ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righ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righ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center"/>
      <border>
        <left/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border outline="0">
        <top style="thin">
          <color rgb="FFEBEBEB"/>
        </top>
      </border>
    </dxf>
    <dxf>
      <border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</dxf>
    <dxf>
      <border outline="0">
        <bottom style="thin">
          <color rgb="FFEBEBEB"/>
        </bottom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9"/>
        <vertAlign val="baseline"/>
      </font>
      <numFmt numFmtId="30" formatCode="@"/>
      <fill>
        <patternFill patternType="solid">
          <fgColor rgb="FFFFFFFF"/>
          <bgColor theme="3" tint="0.249977111117893"/>
        </patternFill>
      </fill>
      <alignment horizontal="left"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color theme="4" tint="0.7999816888943144"/>
      </font>
    </dxf>
    <dxf>
      <font>
        <color auto="1"/>
      </font>
    </dxf>
    <dxf>
      <alignment vertical="center"/>
    </dxf>
    <dxf>
      <alignment vertical="center"/>
    </dxf>
    <dxf>
      <font>
        <color theme="4" tint="0.7999816888943144"/>
      </font>
    </dxf>
    <dxf>
      <font>
        <color theme="4" tint="0.7999816888943144"/>
      </font>
    </dxf>
    <dxf>
      <font>
        <color theme="4" tint="0.7999816888943144"/>
      </font>
    </dxf>
    <dxf>
      <font>
        <sz val="2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/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5" formatCode="##.00;\-##.00;0.00"/>
      <fill>
        <patternFill>
          <fgColor indexed="64"/>
          <bgColor indexed="65"/>
        </patternFill>
      </fill>
      <alignment horizontal="righ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righ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indexed="64"/>
          <bgColor indexed="65"/>
        </patternFill>
      </fill>
      <alignment horizontal="righ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164" formatCode="[$-3409]dd\-mmm\-yy;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bottom"/>
      <border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numFmt numFmtId="30" formatCode="@"/>
      <fill>
        <patternFill>
          <fgColor indexed="64"/>
          <bgColor indexed="65"/>
        </patternFill>
      </fill>
      <alignment horizontal="left" vertical="center"/>
      <border>
        <left/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</dxf>
    <dxf>
      <border outline="0">
        <top style="thin">
          <color rgb="FFEBEBEB"/>
        </top>
      </border>
    </dxf>
    <dxf>
      <border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name val="Arial"/>
        <family val="2"/>
        <strike val="0"/>
        <outline val="0"/>
        <shadow val="0"/>
        <condense val="0"/>
        <color rgb="FF333333"/>
        <extend val="0"/>
        <sz val="9"/>
        <vertAlign val="baseline"/>
      </font>
      <fill>
        <patternFill>
          <fgColor rgb="FF000000"/>
          <bgColor rgb="FFFFFFFF"/>
        </patternFill>
      </fill>
      <alignment horizontal="left" vertical="bottom"/>
    </dxf>
    <dxf>
      <border outline="0">
        <bottom style="thin">
          <color rgb="FFEBEBEB"/>
        </bottom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9"/>
        <vertAlign val="baseline"/>
      </font>
      <numFmt numFmtId="30" formatCode="@"/>
      <fill>
        <patternFill patternType="solid">
          <fgColor rgb="FFFFFFFF"/>
          <bgColor theme="8" tint="-0.249977111117893"/>
        </patternFill>
      </fill>
      <alignment horizontal="left" vertical="center"/>
    </dxf>
    <dxf>
      <alignment horizontal="center"/>
    </dxf>
    <dxf>
      <font>
        <family val="2"/>
        <sz val="8"/>
      </font>
    </dxf>
    <dxf>
      <font>
        <family val="2"/>
        <sz val="8"/>
      </font>
    </dxf>
    <dxf>
      <alignment horizontal="center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color theme="4" tint="0.7999816888943144"/>
      </font>
    </dxf>
    <dxf>
      <font>
        <color theme="4" tint="0.7999816888943144"/>
      </font>
    </dxf>
    <dxf>
      <font>
        <sz val="2"/>
      </font>
    </dxf>
    <dxf>
      <font>
        <sz val="2"/>
      </font>
    </dxf>
    <dxf>
      <font>
        <color theme="4" tint="0.7999816888943144"/>
      </font>
    </dxf>
    <dxf>
      <font>
        <color theme="4" tint="0.7999816888943144"/>
      </font>
    </dxf>
    <dxf>
      <font>
        <sz val="2"/>
      </font>
    </dxf>
    <dxf>
      <font>
        <sz val="2"/>
      </font>
    </dxf>
    <dxf>
      <font>
        <family val="2"/>
        <color theme="4" tint="0.7999816888943144"/>
        <sz val="2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DIFOT MENSUAL</a:t>
            </a:r>
            <a:r>
              <a:rPr lang="es-419" baseline="0"/>
              <a:t xml:space="preserve"> - CONTRATO</a:t>
            </a:r>
            <a:endParaRPr lang="es-419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419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22534752491797"/>
          <y val="0.205143945209438"/>
          <w val="0.83297759924814"/>
          <h val="0.540467998745732"/>
        </manualLayout>
      </layout>
      <lineChart>
        <grouping val="standard"/>
        <varyColors val="0"/>
        <ser>
          <idx val="0"/>
          <order val="0"/>
          <tx>
            <strRef>
              <f>'Resumen - Contrato'!$B$19</f>
              <strCache>
                <ptCount val="1"/>
                <pt idx="0">
                  <v>META</v>
                </pt>
              </strCache>
            </strRef>
          </tx>
          <spPr>
            <a:ln w="12700" cap="rnd" cmpd="sng" algn="ctr">
              <a:solidFill>
                <a:srgbClr val="00B050"/>
              </a:solidFill>
              <a:prstDash val="sysDash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'Resumen - Contrato'!$D$18:$K$18</f>
              <strCache>
                <ptCount val="8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</strCache>
            </strRef>
          </cat>
          <val>
            <numRef>
              <f>'Resumen - Contrato'!$D$19:$K$19</f>
              <numCache>
                <formatCode>0%</formatCode>
                <ptCount val="8"/>
                <pt idx="0">
                  <v>0.9399999999999999</v>
                </pt>
                <pt idx="1">
                  <v>0.9399999999999999</v>
                </pt>
                <pt idx="2">
                  <v>0.9399999999999999</v>
                </pt>
                <pt idx="3">
                  <v>0.9399999999999999</v>
                </pt>
                <pt idx="4">
                  <v>0.9399999999999999</v>
                </pt>
                <pt idx="5">
                  <v>0.9399999999999999</v>
                </pt>
                <pt idx="6">
                  <v>0.9399999999999999</v>
                </pt>
                <pt idx="7">
                  <v>0.9399999999999999</v>
                </pt>
              </numCache>
            </numRef>
          </val>
          <smooth val="0"/>
        </ser>
        <ser>
          <idx val="1"/>
          <order val="1"/>
          <tx>
            <strRef>
              <f>'Resumen - Contrato'!$B$20</f>
              <strCache>
                <ptCount val="1"/>
                <pt idx="0">
                  <v>OK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  <a:headEnd w="med" len="med"/>
              <a:tailEnd type="arrow" w="med" len="med"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'Resumen - Contrato'!$D$18:$K$18</f>
              <strCache>
                <ptCount val="8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</strCache>
            </strRef>
          </cat>
          <val>
            <numRef>
              <f>'Resumen - Contrato'!$D$20:$K$20</f>
              <numCache>
                <formatCode>0%</formatCode>
                <ptCount val="8"/>
                <pt idx="0">
                  <v>0.8796296296296297</v>
                </pt>
                <pt idx="1">
                  <v>0.9487179487179487</v>
                </pt>
                <pt idx="2">
                  <v>0.9565217391304348</v>
                </pt>
                <pt idx="3">
                  <v>0.9126984126984127</v>
                </pt>
                <pt idx="4">
                  <v>0.9591836734693877</v>
                </pt>
                <pt idx="5">
                  <v>0.97</v>
                </pt>
                <pt idx="6">
                  <v>0.958904109589041</v>
                </pt>
                <pt idx="7">
                  <v>0.8048780487804879</v>
                </pt>
              </numCache>
            </numRef>
          </val>
          <smooth val="0"/>
        </ser>
        <ser>
          <idx val="2"/>
          <order val="2"/>
          <tx>
            <strRef>
              <f>'Resumen - Contrato'!$B$23</f>
              <strCache>
                <ptCount val="1"/>
                <pt idx="0">
                  <v>OPORTUNIDAD</v>
                </pt>
              </strCache>
            </strRef>
          </tx>
          <spPr>
            <a:ln w="9525" cap="rnd" cmpd="sng" algn="ctr">
              <a:solidFill>
                <a:schemeClr val="bg2">
                  <a:lumMod val="75000"/>
                </a:schemeClr>
              </a:solidFill>
              <a:prstDash val="sysDash"/>
              <a:round/>
              <a:headEnd w="med" len="med"/>
              <a:tailEnd type="arrow" w="med" len="me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'Resumen - Contrato'!$D$18:$K$18</f>
              <strCache>
                <ptCount val="8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</strCache>
            </strRef>
          </cat>
          <val>
            <numRef>
              <f>'Resumen - Contrato'!$D$23:$K$23</f>
              <numCache>
                <formatCode>0%</formatCode>
                <ptCount val="8"/>
                <pt idx="0">
                  <v>0.8796296296296297</v>
                </pt>
                <pt idx="1">
                  <v>0.9487179487179487</v>
                </pt>
                <pt idx="2">
                  <v>0.9565217391304348</v>
                </pt>
                <pt idx="3">
                  <v>0.9126984126984127</v>
                </pt>
                <pt idx="4">
                  <v>0.9591836734693877</v>
                </pt>
                <pt idx="5">
                  <v>0.97</v>
                </pt>
                <pt idx="6">
                  <v>0.958904109589041</v>
                </pt>
                <pt idx="7">
                  <v>0.967479674796748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dropLines>
          <spPr>
            <a:ln w="9525" cap="flat" cmpd="sng" algn="ctr">
              <a:solidFill>
                <a:schemeClr val="dk1">
                  <a:alpha val="33000"/>
                  <a:lumMod val="35000"/>
                  <a:lumOff val="65000"/>
                </a:schemeClr>
              </a:solidFill>
              <a:prstDash val="solid"/>
              <a:round/>
            </a:ln>
          </spPr>
        </dropLines>
        <smooth val="0"/>
        <axId val="1650244751"/>
        <axId val="1650239951"/>
      </lineChart>
      <catAx>
        <axId val="165024475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50239951"/>
        <crosses val="autoZero"/>
        <auto val="1"/>
        <lblAlgn val="ctr"/>
        <lblOffset val="100"/>
        <noMultiLvlLbl val="0"/>
      </catAx>
      <valAx>
        <axId val="1650239951"/>
        <scaling>
          <orientation val="minMax"/>
          <max val="1"/>
        </scaling>
        <delete val="0"/>
        <axPos val="l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5024475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zero"/>
  </chart>
  <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DIFOT - CONTRATO/FUERA DE CONTRATO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'Resumen - Todo'!$B$19</f>
              <strCache>
                <ptCount val="1"/>
                <pt idx="0">
                  <v>META</v>
                </pt>
              </strCache>
            </strRef>
          </tx>
          <spPr>
            <a:ln w="12700" cap="rnd" cmpd="sng" algn="ctr">
              <a:solidFill>
                <a:srgbClr val="00B050"/>
              </a:solidFill>
              <a:prstDash val="sys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cat>
            <strRef>
              <f>'Resumen - Todo'!$D$18:$N$18</f>
              <strCache>
                <ptCount val="11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</strCache>
            </strRef>
          </cat>
          <val>
            <numRef>
              <f>'Resumen - Todo'!$D$19:$N$19</f>
              <numCache>
                <formatCode>0%</formatCode>
                <ptCount val="11"/>
                <pt idx="0">
                  <v>0.9399999999999999</v>
                </pt>
                <pt idx="1">
                  <v>0.9399999999999999</v>
                </pt>
                <pt idx="2">
                  <v>0.9399999999999999</v>
                </pt>
                <pt idx="3">
                  <v>0.9399999999999999</v>
                </pt>
                <pt idx="4">
                  <v>0.9399999999999999</v>
                </pt>
                <pt idx="5">
                  <v>0.9399999999999999</v>
                </pt>
                <pt idx="6">
                  <v>0.9399999999999999</v>
                </pt>
                <pt idx="7">
                  <v>0.9399999999999999</v>
                </pt>
                <pt idx="8">
                  <v>0.9399999999999999</v>
                </pt>
                <pt idx="9">
                  <v>0.9399999999999999</v>
                </pt>
                <pt idx="10">
                  <v>0.9399999999999999</v>
                </pt>
              </numCache>
            </numRef>
          </val>
          <smooth val="0"/>
        </ser>
        <ser>
          <idx val="1"/>
          <order val="1"/>
          <tx>
            <strRef>
              <f>'Resumen - Todo'!$B$20</f>
              <strCache>
                <ptCount val="1"/>
                <pt idx="0">
                  <v>OK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  <a:headEnd w="med" len="med"/>
              <a:tailEnd type="arrow" w="med" len="med"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'Resumen - Todo'!$D$18:$N$18</f>
              <strCache>
                <ptCount val="11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</strCache>
            </strRef>
          </cat>
          <val>
            <numRef>
              <f>'Resumen - Todo'!$D$20:$N$20</f>
              <numCache>
                <formatCode>0%</formatCode>
                <ptCount val="11"/>
                <pt idx="0">
                  <v>0.8842975206611571</v>
                </pt>
                <pt idx="1">
                  <v>0.9069767441860465</v>
                </pt>
                <pt idx="2">
                  <v>0.9504950495049505</v>
                </pt>
                <pt idx="3">
                  <v>0.9214285714285714</v>
                </pt>
                <pt idx="4">
                  <v>0.9627329192546584</v>
                </pt>
                <pt idx="5">
                  <v>0.9722222222222222</v>
                </pt>
                <pt idx="6">
                  <v>0.9655172413793104</v>
                </pt>
                <pt idx="7">
                  <v>0.8014705882352942</v>
                </pt>
                <pt idx="8">
                  <v>0.1728395061728395</v>
                </pt>
                <pt idx="9">
                  <v>0.025</v>
                </pt>
                <pt idx="10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'Resumen - Todo'!$B$23</f>
              <strCache>
                <ptCount val="1"/>
                <pt idx="0">
                  <v>OPORTUNIDAD</v>
                </pt>
              </strCache>
            </strRef>
          </tx>
          <spPr>
            <a:ln w="12700" cap="rnd" cmpd="sng" algn="ctr">
              <a:solidFill>
                <a:schemeClr val="bg2">
                  <a:lumMod val="75000"/>
                </a:schemeClr>
              </a:solidFill>
              <a:prstDash val="sysDash"/>
              <a:round/>
              <a:headEnd w="med" len="med"/>
              <a:tailEnd type="arrow" w="med" len="med"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cat>
            <strRef>
              <f>'Resumen - Todo'!$D$18:$N$18</f>
              <strCache>
                <ptCount val="11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</strCache>
            </strRef>
          </cat>
          <val>
            <numRef>
              <f>'Resumen - Todo'!$D$23:$N$23</f>
              <numCache>
                <formatCode>0%</formatCode>
                <ptCount val="11"/>
                <pt idx="0">
                  <v>0.8842975206611571</v>
                </pt>
                <pt idx="1">
                  <v>0.9069767441860465</v>
                </pt>
                <pt idx="2">
                  <v>0.9504950495049505</v>
                </pt>
                <pt idx="3">
                  <v>0.9214285714285714</v>
                </pt>
                <pt idx="4">
                  <v>0.9627329192546584</v>
                </pt>
                <pt idx="5">
                  <v>0.9722222222222222</v>
                </pt>
                <pt idx="6">
                  <v>0.9655172413793104</v>
                </pt>
                <pt idx="7">
                  <v>0.9558823529411765</v>
                </pt>
                <pt idx="8">
                  <v>1</v>
                </pt>
                <pt idx="9">
                  <v>1</v>
                </pt>
                <pt idx="10">
                  <v>1</v>
                </pt>
              </numCache>
            </numRef>
          </val>
          <smooth val="0"/>
        </ser>
        <dLbls>
          <dLblPos val="b"/>
          <showLegendKey val="0"/>
          <showVal val="1"/>
          <showCatName val="0"/>
          <showSerName val="0"/>
          <showPercent val="0"/>
          <showBubbleSize val="0"/>
        </dLbls>
        <dropLines>
          <spPr>
            <a:ln w="9525" cap="flat" cmpd="sng" algn="ctr">
              <a:solidFill>
                <a:schemeClr val="dk1">
                  <a:alpha val="33000"/>
                  <a:lumMod val="35000"/>
                  <a:lumOff val="65000"/>
                </a:schemeClr>
              </a:solidFill>
              <a:prstDash val="solid"/>
              <a:round/>
            </a:ln>
          </spPr>
        </dropLines>
        <smooth val="0"/>
        <axId val="1650232751"/>
        <axId val="1650231311"/>
      </lineChart>
      <catAx>
        <axId val="165023275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50231311"/>
        <crosses val="autoZero"/>
        <auto val="1"/>
        <lblAlgn val="ctr"/>
        <lblOffset val="100"/>
        <noMultiLvlLbl val="0"/>
      </catAx>
      <valAx>
        <axId val="1650231311"/>
        <scaling>
          <orientation val="minMax"/>
          <max val="1"/>
        </scaling>
        <delete val="0"/>
        <axPos val="l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5023275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17</col>
      <colOff>75153</colOff>
      <row>12</row>
      <rowOff>59189</rowOff>
    </from>
    <to>
      <col>22</col>
      <colOff>89123</colOff>
      <row>26</row>
      <rowOff>98752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18</col>
      <colOff>174625</colOff>
      <row>1</row>
      <rowOff>69850</rowOff>
    </from>
    <to>
      <col>22</col>
      <colOff>596900</colOff>
      <row>23</row>
      <rowOff>25400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3" displayName="Table13" ref="A1:AH1" headerRowCount="1" totalsRowShown="0" headerRowDxfId="166" dataDxfId="164" headerRowBorderDxfId="165" tableBorderDxfId="163" totalsRowBorderDxfId="162">
  <autoFilter ref="A1:AH23"/>
  <sortState ref="A2:AH23">
    <sortCondition ref="R1:R23"/>
  </sortState>
  <tableColumns count="34">
    <tableColumn id="1" name="Region" dataDxfId="161"/>
    <tableColumn id="2" name="Asset" dataDxfId="160"/>
    <tableColumn id="3" name="Purch. Org. - Text" dataDxfId="159"/>
    <tableColumn id="4" name="Vendor(VN) - Key" dataDxfId="158"/>
    <tableColumn id="5" name="Vendor(VN) - Text" dataDxfId="157"/>
    <tableColumn id="6" name="IncoTerms - Key" dataDxfId="156"/>
    <tableColumn id="7" name="Inco term: Additional Information - Text" dataDxfId="155"/>
    <tableColumn id="8" name="Purchase Document Item No. - Key" dataDxfId="154"/>
    <tableColumn id="9" name="Purch. Group - Key" dataDxfId="153"/>
    <tableColumn id="10" name="Contract (Outline Agreement) No - Key" dataDxfId="152"/>
    <tableColumn id="11" name="Material - Key" dataDxfId="151"/>
    <tableColumn id="12" name="Material - Text" dataDxfId="150"/>
    <tableColumn id="13" name="Purchase Document Number - Key" dataDxfId="149"/>
    <tableColumn id="28" name="PO Item Quantity Order UOM" dataDxfId="148"/>
    <tableColumn id="29" name="Purch. Item Category - Text" dataDxfId="147"/>
    <tableColumn id="14" name="Indicator : Delivery Completion - Key" dataDxfId="146"/>
    <tableColumn id="15" name="PO Document Date - Key" dataDxfId="145"/>
    <tableColumn id="16" name="Date : Calculated Delivery - Key" dataDxfId="144"/>
    <tableColumn id="17" name="Date: First GR Posting - Key" dataDxfId="143"/>
    <tableColumn id="18" name="Date: PO Statistical Delv - Key" dataDxfId="142"/>
    <tableColumn id="19" name="Date : PO Change - Key" dataDxfId="141"/>
    <tableColumn id="20" name="No. of PO Schd Line" dataDxfId="140"/>
    <tableColumn id="21" name="Count of DIFOT" dataDxfId="139"/>
    <tableColumn id="22" name="DIFOT%" dataDxfId="138"/>
    <tableColumn id="23" name="SEMANA" dataDxfId="137"/>
    <tableColumn id="24" name="MES" dataDxfId="136"/>
    <tableColumn id="25" name="DELIVERY" dataDxfId="135"/>
    <tableColumn id="26" name="DEADLINE" dataDxfId="134"/>
    <tableColumn id="27" name="PERFORMANCE" dataDxfId="133"/>
    <tableColumn id="30" name="AÑO" dataDxfId="132"/>
    <tableColumn id="34" name="Cumple con entrega _x000a_(SI o NO)" dataDxfId="131"/>
    <tableColumn id="35" name="Causa raiz en caso de fallo _x000a_(seleccionar lo que aplica)" dataDxfId="130"/>
    <tableColumn id="32" name="Comentarios" dataDxfId="129"/>
    <tableColumn id="33" name="Nueva fecha de entrega_x000a_(dd/mm/yyyy)" dataDxfId="128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1:AD1" headerRowCount="1" totalsRowShown="0" headerRowDxfId="99" dataDxfId="97" headerRowBorderDxfId="98" tableBorderDxfId="96" totalsRowBorderDxfId="95">
  <autoFilter ref="A1:AD1150"/>
  <tableColumns count="30">
    <tableColumn id="1" name="Region" dataDxfId="94"/>
    <tableColumn id="2" name="Asset" dataDxfId="93"/>
    <tableColumn id="3" name="Purch. Org. - Text" dataDxfId="92"/>
    <tableColumn id="4" name="Vendor(VN) - Key" dataDxfId="91"/>
    <tableColumn id="5" name="Vendor(VN) - Text" dataDxfId="90"/>
    <tableColumn id="6" name="IncoTerms - Key" dataDxfId="89"/>
    <tableColumn id="7" name="Inco term: Additional Information - Text" dataDxfId="88"/>
    <tableColumn id="8" name="Purchase Document Item No. - Key" dataDxfId="87"/>
    <tableColumn id="9" name="Purch. Group - Key" dataDxfId="86"/>
    <tableColumn id="10" name="Contract (Outline Agreement) No - Key" dataDxfId="85"/>
    <tableColumn id="11" name="Material - Key" dataDxfId="84"/>
    <tableColumn id="12" name="Material - Text" dataDxfId="83"/>
    <tableColumn id="13" name="Purchase Document Number - Key" dataDxfId="82"/>
    <tableColumn id="28" name="PO Item Quantity Order UOM" dataDxfId="81"/>
    <tableColumn id="29" name="Purch. Item Category - Text" dataDxfId="80"/>
    <tableColumn id="14" name="Indicator : Delivery Completion - Key" dataDxfId="79"/>
    <tableColumn id="15" name="PO Document Date - Key" dataDxfId="78"/>
    <tableColumn id="16" name="Date : Calculated Delivery - Key" dataDxfId="77"/>
    <tableColumn id="17" name="Date: First GR Posting - Key" dataDxfId="76"/>
    <tableColumn id="18" name="Date: PO Statistical Delv - Key" dataDxfId="75"/>
    <tableColumn id="19" name="Date : PO Change - Key" dataDxfId="74"/>
    <tableColumn id="20" name="No. of PO Schd Line" dataDxfId="73"/>
    <tableColumn id="21" name="Count of DIFOT" dataDxfId="72"/>
    <tableColumn id="22" name="DIFOT%" dataDxfId="71"/>
    <tableColumn id="23" name="SEMANA" dataDxfId="70">
      <calculatedColumnFormula>"SEM "&amp;WEEKNUM(R2)</calculatedColumnFormula>
    </tableColumn>
    <tableColumn id="24" name="MES" dataDxfId="69">
      <calculatedColumnFormula>TEXT(R2,"MMM-YYYY")</calculatedColumnFormula>
    </tableColumn>
    <tableColumn id="25" name="DELIVERY" dataDxfId="68">
      <calculatedColumnFormula>IF(AND(S2&lt;&gt;"#",P2="X"),"COMPLETA",IF(AND(S2&lt;&gt;"#",P2&lt;&gt;"X"),"PARCIAL","PENDIENTE"))</calculatedColumnFormula>
    </tableColumn>
    <tableColumn id="26" name="DEADLINE" dataDxfId="67">
      <calculatedColumnFormula>IF(OR(AA2="PENDIENTE",AA2="PARCIAL"),R2-TODAY(),R2-S2)</calculatedColumnFormula>
    </tableColumn>
    <tableColumn id="27" name="PERFORMANCE" dataDxfId="66">
      <calculatedColumnFormula>IF(AB2&lt;0,"NOK","OK")</calculatedColumnFormula>
    </tableColumn>
    <tableColumn id="30" name="AÑO" dataDxfId="65">
      <calculatedColumnFormula>TEXT(R2,"YYYY")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topLeftCell="I3" workbookViewId="0">
      <selection activeCell="E2" sqref="E2"/>
    </sheetView>
  </sheetViews>
  <sheetFormatPr baseColWidth="8" defaultColWidth="9.1796875" defaultRowHeight="12.5"/>
  <cols>
    <col width="9.81640625" customWidth="1" min="1" max="1"/>
    <col width="8.26953125" customWidth="1" min="2" max="2"/>
    <col hidden="1" outlineLevel="1" width="12.1796875" customWidth="1" min="3" max="3"/>
    <col hidden="1" outlineLevel="1" width="17.1796875" customWidth="1" min="4" max="4"/>
    <col collapsed="1" width="10.453125" customWidth="1" min="5" max="5"/>
    <col outlineLevel="1" width="16.453125" customWidth="1" min="6" max="6"/>
    <col outlineLevel="1" width="36" customWidth="1" min="7" max="7"/>
    <col outlineLevel="1" width="32.453125" customWidth="1" min="8" max="8"/>
    <col outlineLevel="1" width="18.81640625" customWidth="1" min="9" max="9"/>
    <col width="10.54296875" customWidth="1" min="10" max="10"/>
    <col width="8.54296875" customWidth="1" min="11" max="11"/>
    <col width="23.54296875" customWidth="1" min="12" max="12"/>
    <col width="10.54296875" customWidth="1" min="13" max="13"/>
    <col width="4.54296875" customWidth="1" min="14" max="14"/>
    <col hidden="1" outlineLevel="1" width="32" customWidth="1" min="15" max="15"/>
    <col hidden="1" outlineLevel="1" width="33.81640625" customWidth="1" min="16" max="16"/>
    <col collapsed="1" width="9.26953125" customWidth="1" style="17" min="17" max="17"/>
    <col width="9.26953125" customWidth="1" style="17" min="18" max="18"/>
    <col hidden="1" outlineLevel="1" width="9.26953125" customWidth="1" style="17" min="19" max="19"/>
    <col collapsed="1" width="9.26953125" customWidth="1" style="17" min="20" max="20"/>
    <col width="9.26953125" customWidth="1" style="17" min="21" max="21"/>
    <col hidden="1" outlineLevel="1" width="19.54296875" customWidth="1" min="22" max="22"/>
    <col hidden="1" outlineLevel="1" width="15.54296875" customWidth="1" min="23" max="23"/>
    <col hidden="1" outlineLevel="1" width="13" customWidth="1" min="24" max="24"/>
    <col collapsed="1" width="7.7265625" customWidth="1" style="17" min="25" max="25"/>
    <col width="6.81640625" customWidth="1" min="26" max="26"/>
    <col width="11" customWidth="1" min="27" max="27"/>
    <col hidden="1" outlineLevel="1" width="11.1796875" customWidth="1" min="28" max="28"/>
    <col collapsed="1" width="5.54296875" customWidth="1" min="29" max="29"/>
    <col hidden="1" outlineLevel="1" width="8.7265625" customWidth="1" min="30" max="30"/>
    <col collapsed="1" width="10.26953125" customWidth="1" min="31" max="31"/>
    <col width="14.453125" customWidth="1" min="32" max="32"/>
    <col width="45.81640625" bestFit="1" customWidth="1" min="33" max="33"/>
    <col width="13.453125" customWidth="1" min="34" max="34"/>
  </cols>
  <sheetData>
    <row r="1" ht="46" customFormat="1" customHeight="1" s="37">
      <c r="A1" s="25" t="inlineStr">
        <is>
          <t>Region</t>
        </is>
      </c>
      <c r="B1" s="25" t="inlineStr">
        <is>
          <t>Asset</t>
        </is>
      </c>
      <c r="C1" s="22" t="inlineStr">
        <is>
          <t>Purch. Org. - Text</t>
        </is>
      </c>
      <c r="D1" s="22" t="inlineStr">
        <is>
          <t>Vendor(VN) - Key</t>
        </is>
      </c>
      <c r="E1" s="25" t="inlineStr">
        <is>
          <t>Vendor(VN) - Text</t>
        </is>
      </c>
      <c r="F1" s="22" t="inlineStr">
        <is>
          <t>IncoTerms - Key</t>
        </is>
      </c>
      <c r="G1" s="22" t="inlineStr">
        <is>
          <t>Inco term: Additional Information - Text</t>
        </is>
      </c>
      <c r="H1" s="22" t="inlineStr">
        <is>
          <t>Purchase Document Item No. - Key</t>
        </is>
      </c>
      <c r="I1" s="22" t="inlineStr">
        <is>
          <t>Purch. Group - Key</t>
        </is>
      </c>
      <c r="J1" s="36" t="inlineStr">
        <is>
          <t>Contract (Outline Agreement) No - Key</t>
        </is>
      </c>
      <c r="K1" s="25" t="inlineStr">
        <is>
          <t>Material - Key</t>
        </is>
      </c>
      <c r="L1" s="25" t="inlineStr">
        <is>
          <t>Material - Text</t>
        </is>
      </c>
      <c r="M1" s="25" t="inlineStr">
        <is>
          <t>Purchase Document Number - Key</t>
        </is>
      </c>
      <c r="N1" s="25" t="inlineStr">
        <is>
          <t>PO Item Quantity Order UOM</t>
        </is>
      </c>
      <c r="O1" s="22" t="inlineStr">
        <is>
          <t>Purch. Item Category - Text</t>
        </is>
      </c>
      <c r="P1" s="22" t="inlineStr">
        <is>
          <t>Indicator : Delivery Completion - Key</t>
        </is>
      </c>
      <c r="Q1" s="25" t="inlineStr">
        <is>
          <t>PO Document Date - Key</t>
        </is>
      </c>
      <c r="R1" s="36" t="inlineStr">
        <is>
          <t>Date : Calculated Delivery - Key</t>
        </is>
      </c>
      <c r="S1" s="22" t="inlineStr">
        <is>
          <t>Date: First GR Posting - Key</t>
        </is>
      </c>
      <c r="T1" s="25" t="inlineStr">
        <is>
          <t>Date: PO Statistical Delv - Key</t>
        </is>
      </c>
      <c r="U1" s="25" t="inlineStr">
        <is>
          <t>Date : PO Change - Key</t>
        </is>
      </c>
      <c r="V1" s="22" t="inlineStr">
        <is>
          <t>No. of PO Schd Line</t>
        </is>
      </c>
      <c r="W1" s="22" t="inlineStr">
        <is>
          <t>Count of DIFOT</t>
        </is>
      </c>
      <c r="X1" s="22" t="inlineStr">
        <is>
          <t>DIFOT%</t>
        </is>
      </c>
      <c r="Y1" s="38" t="inlineStr">
        <is>
          <t>SEMANA</t>
        </is>
      </c>
      <c r="Z1" s="36" t="inlineStr">
        <is>
          <t>MES</t>
        </is>
      </c>
      <c r="AA1" s="36" t="inlineStr">
        <is>
          <t>DELIVERY</t>
        </is>
      </c>
      <c r="AB1" s="36" t="inlineStr">
        <is>
          <t>DEADLINE</t>
        </is>
      </c>
      <c r="AC1" s="36" t="inlineStr">
        <is>
          <t>PERFORMANCE</t>
        </is>
      </c>
      <c r="AD1" s="26" t="inlineStr">
        <is>
          <t>AÑO</t>
        </is>
      </c>
      <c r="AE1" s="23" t="inlineStr">
        <is>
          <t>Cumple con entrega 
(SI o NO)</t>
        </is>
      </c>
      <c r="AF1" s="23" t="inlineStr">
        <is>
          <t>Causa raiz en caso de fallo 
(seleccionar lo que aplica)</t>
        </is>
      </c>
      <c r="AG1" s="24" t="inlineStr">
        <is>
          <t>Comentarios</t>
        </is>
      </c>
      <c r="AH1" s="23" t="inlineStr">
        <is>
          <t>Nueva fecha de entrega
(dd/mm/yyyy)</t>
        </is>
      </c>
    </row>
  </sheetData>
  <dataValidations count="2">
    <dataValidation sqref="AF2:AF23 AH2:AH1048576" showDropDown="0" showInputMessage="1" showErrorMessage="1" allowBlank="1" type="list">
      <formula1>"Agendamiento Mintral/Sitrans,Rechazo por embalaje,Plazo de entrega de fabrica,Quiebre de stock,Ingreso incorrecto de GD (Mintral/Sitrans),Otro - Escribir razon en comentarios"</formula1>
    </dataValidation>
    <dataValidation sqref="AG2:AG1048576" showDropDown="0" showInputMessage="1" showErrorMessage="1" allowBlank="1" type="list">
      <formula1>"Si,No"</formula1>
    </dataValidation>
  </dataValidations>
  <pageMargins left="0.7" right="0.7" top="0.75" bottom="0.75" header="0.3" footer="0.3"/>
  <pageSetup orientation="landscape" paperSize="8"/>
  <headerFooter alignWithMargins="0">
    <oddHeader>&amp;C&amp;"Calibri"&amp;1 &amp;K000000 BHP Confidential#_x000d_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V27"/>
  <sheetViews>
    <sheetView showGridLines="0" tabSelected="1" topLeftCell="A6" zoomScale="115" zoomScaleNormal="115" workbookViewId="0">
      <selection activeCell="B18" sqref="B18:P23"/>
    </sheetView>
  </sheetViews>
  <sheetFormatPr baseColWidth="8" defaultColWidth="11.81640625" defaultRowHeight="12.5"/>
  <cols>
    <col width="2.453125" customWidth="1" min="1" max="1"/>
    <col width="8.1796875" bestFit="1" customWidth="1" min="2" max="2"/>
    <col width="5.6328125" customWidth="1" min="3" max="9"/>
    <col width="5.6328125" customWidth="1" style="51" min="10" max="11"/>
    <col width="5.6328125" customWidth="1" min="12" max="16"/>
    <col width="5" bestFit="1" customWidth="1" min="17" max="17"/>
    <col width="7.26953125" bestFit="1" customWidth="1" min="18" max="18"/>
    <col width="11.54296875" bestFit="1" customWidth="1" min="19" max="19"/>
    <col width="16.7265625" bestFit="1" customWidth="1" min="20" max="20"/>
    <col width="17.81640625" bestFit="1" customWidth="1" min="21" max="21"/>
    <col width="14.54296875" bestFit="1" customWidth="1" min="22" max="22"/>
  </cols>
  <sheetData>
    <row r="1">
      <c r="B1" s="67" t="inlineStr">
        <is>
          <t>DIFOT MENSUAL - CONTRATO</t>
        </is>
      </c>
      <c r="Q1" s="42" t="n"/>
    </row>
    <row r="2" ht="7.5" customHeight="1"/>
    <row r="3">
      <c r="B3" s="20" t="inlineStr">
        <is>
          <t>Contract (Outline Agreement) No - Key</t>
        </is>
      </c>
      <c r="C3" s="21" t="inlineStr">
        <is>
          <t>(Multiple Items)</t>
        </is>
      </c>
      <c r="D3" s="21" t="n"/>
      <c r="E3" s="19" t="n"/>
      <c r="R3" s="32" t="inlineStr">
        <is>
          <t>Semana</t>
        </is>
      </c>
      <c r="S3" s="32" t="inlineStr">
        <is>
          <t>PO Pendiente</t>
        </is>
      </c>
      <c r="T3" s="32" t="inlineStr">
        <is>
          <t>Compromiso lineas</t>
        </is>
      </c>
      <c r="U3" s="32" t="inlineStr">
        <is>
          <t>Compromiso prov. %</t>
        </is>
      </c>
      <c r="V3" s="32" t="inlineStr">
        <is>
          <t>Oportunidad Real</t>
        </is>
      </c>
    </row>
    <row r="4">
      <c r="B4" s="21" t="n"/>
      <c r="C4" s="21" t="n"/>
      <c r="D4" s="21" t="n"/>
      <c r="E4" s="19" t="n"/>
      <c r="G4" s="21" t="n"/>
      <c r="H4" s="19" t="n"/>
      <c r="J4" s="52" t="n"/>
      <c r="K4" s="66" t="n"/>
      <c r="M4" s="21" t="n"/>
      <c r="N4" s="21" t="n"/>
      <c r="O4" s="21" t="n"/>
      <c r="P4" s="21" t="n"/>
      <c r="Q4" s="19" t="n"/>
      <c r="R4" s="76" t="inlineStr">
        <is>
          <t>SEM 33</t>
        </is>
      </c>
      <c r="S4" s="76">
        <f>COUNTIF('Pendientes - Contrato'!$Y:AE,R4)</f>
        <v/>
      </c>
      <c r="T4" s="31">
        <f>S4-(COUNTIFS('Pendientes - Contrato'!$Y:AD,R4,'Pendientes - Contrato'!$AE:AJ,"no"))</f>
        <v/>
      </c>
      <c r="U4" s="28">
        <f>T4/$K$16</f>
        <v/>
      </c>
      <c r="V4" s="29">
        <f>$K$20+U4</f>
        <v/>
      </c>
    </row>
    <row r="5">
      <c r="B5" s="20" t="inlineStr">
        <is>
          <t>Sum of No. of PO Schd Line</t>
        </is>
      </c>
      <c r="C5" s="21" t="n"/>
      <c r="D5" s="20" t="inlineStr">
        <is>
          <t>Column Labels</t>
        </is>
      </c>
      <c r="R5" s="76" t="inlineStr">
        <is>
          <t>SEM 34</t>
        </is>
      </c>
      <c r="S5" s="76">
        <f>COUNTIF('Pendientes - Contrato'!$Y:AE,R5)</f>
        <v/>
      </c>
      <c r="T5" s="31">
        <f>S5-(COUNTIFS('Pendientes - Contrato'!$Y:AD,R5,'Pendientes - Contrato'!$AE:AJ,"no"))</f>
        <v/>
      </c>
      <c r="U5" s="28">
        <f>T5/$K$16</f>
        <v/>
      </c>
      <c r="V5" s="29">
        <f>$K$20+U5</f>
        <v/>
      </c>
    </row>
    <row r="6">
      <c r="B6" s="21" t="n"/>
      <c r="C6" s="21" t="n"/>
      <c r="D6" s="74" t="inlineStr">
        <is>
          <t>2026</t>
        </is>
      </c>
      <c r="E6" s="74" t="n"/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  <c r="P6" s="74" t="inlineStr">
        <is>
          <t xml:space="preserve"> Total</t>
        </is>
      </c>
      <c r="R6" s="76" t="inlineStr">
        <is>
          <t>SEM 35</t>
        </is>
      </c>
      <c r="S6" s="76">
        <f>COUNTIF('Pendientes - Contrato'!$Y:AE,R6)</f>
        <v/>
      </c>
      <c r="T6" s="31">
        <f>S6-(COUNTIFS('Pendientes - Contrato'!$Y:AD,R6,'Pendientes - Contrato'!$AE:AJ,"no"))</f>
        <v/>
      </c>
      <c r="U6" s="28">
        <f>T6/$K$16</f>
        <v/>
      </c>
      <c r="V6" s="29">
        <f>$K$20+U6</f>
        <v/>
      </c>
    </row>
    <row r="7">
      <c r="B7" s="20" t="inlineStr">
        <is>
          <t>Row Labels</t>
        </is>
      </c>
      <c r="C7" s="62" t="inlineStr">
        <is>
          <t>DELIVERY</t>
        </is>
      </c>
      <c r="D7" s="74" t="inlineStr">
        <is>
          <t>Jan</t>
        </is>
      </c>
      <c r="E7" s="74" t="inlineStr">
        <is>
          <t>Feb</t>
        </is>
      </c>
      <c r="F7" s="74" t="inlineStr">
        <is>
          <t>Mar</t>
        </is>
      </c>
      <c r="G7" s="74" t="inlineStr">
        <is>
          <t>Apr</t>
        </is>
      </c>
      <c r="H7" s="74" t="inlineStr">
        <is>
          <t>May</t>
        </is>
      </c>
      <c r="I7" s="74" t="inlineStr">
        <is>
          <t>Jun</t>
        </is>
      </c>
      <c r="J7" t="inlineStr">
        <is>
          <t>Jul</t>
        </is>
      </c>
      <c r="K7" t="inlineStr">
        <is>
          <t>Aug</t>
        </is>
      </c>
      <c r="L7" t="inlineStr">
        <is>
          <t>Sep</t>
        </is>
      </c>
      <c r="M7" t="inlineStr">
        <is>
          <t>Oct</t>
        </is>
      </c>
      <c r="N7" t="inlineStr">
        <is>
          <t>Nov</t>
        </is>
      </c>
      <c r="O7" t="inlineStr">
        <is>
          <t>Dec</t>
        </is>
      </c>
      <c r="P7" s="74" t="n"/>
      <c r="R7" s="76" t="inlineStr">
        <is>
          <t>SEM 36</t>
        </is>
      </c>
      <c r="S7" s="76">
        <f>COUNTIF('Pendientes - Contrato'!$Y:AE,R7)</f>
        <v/>
      </c>
      <c r="T7" s="31">
        <f>S7-(COUNTIFS('Pendientes - Contrato'!$Y:AD,R7,'Pendientes - Contrato'!$AE:AJ,"no"))</f>
        <v/>
      </c>
      <c r="U7" s="28">
        <f>T7/$K$16</f>
        <v/>
      </c>
      <c r="V7" s="29">
        <f>$K$20+U7</f>
        <v/>
      </c>
    </row>
    <row r="8">
      <c r="B8" s="65" t="inlineStr">
        <is>
          <t>NOK</t>
        </is>
      </c>
      <c r="C8" s="65" t="inlineStr">
        <is>
          <t>COMPLETA</t>
        </is>
      </c>
      <c r="D8" s="75" t="n">
        <v>13</v>
      </c>
      <c r="E8" s="74" t="n">
        <v>6</v>
      </c>
      <c r="F8" s="74" t="n">
        <v>4</v>
      </c>
      <c r="G8" s="74" t="n">
        <v>11</v>
      </c>
      <c r="H8" s="74" t="n">
        <v>6</v>
      </c>
      <c r="I8" s="72" t="n">
        <v>3</v>
      </c>
      <c r="J8" s="72" t="n">
        <v>2</v>
      </c>
      <c r="K8" s="76" t="n"/>
      <c r="L8" s="72" t="n"/>
      <c r="M8" s="72" t="n"/>
      <c r="N8" s="72" t="n"/>
      <c r="O8" s="72" t="n"/>
      <c r="P8" s="74" t="n">
        <v>45</v>
      </c>
      <c r="R8" s="76" t="inlineStr">
        <is>
          <t>SEM 37</t>
        </is>
      </c>
      <c r="S8" s="40">
        <f>COUNTIF('Pendientes - Contrato'!$Y:AE,R8)</f>
        <v/>
      </c>
      <c r="T8" s="31">
        <f>S8-(COUNTIFS('Pendientes - Contrato'!$Y:AD,R8,'Pendientes - Contrato'!$AE:AJ,"no"))</f>
        <v/>
      </c>
      <c r="U8" s="28">
        <f>T8/$K$16</f>
        <v/>
      </c>
      <c r="V8" s="29">
        <f>$K$20+U8</f>
        <v/>
      </c>
    </row>
    <row r="9">
      <c r="B9" s="72" t="n"/>
      <c r="C9" s="65" t="inlineStr">
        <is>
          <t>PARCIAL</t>
        </is>
      </c>
      <c r="D9" s="75" t="n"/>
      <c r="E9" s="74" t="n"/>
      <c r="F9" s="74" t="n"/>
      <c r="G9" s="74" t="n"/>
      <c r="H9" s="74" t="n"/>
      <c r="I9" s="72" t="n"/>
      <c r="J9" s="72" t="n"/>
      <c r="K9" s="76" t="n">
        <v>2</v>
      </c>
      <c r="L9" s="72" t="n"/>
      <c r="M9" s="72" t="n"/>
      <c r="N9" s="72" t="n"/>
      <c r="O9" s="72" t="n"/>
      <c r="P9" s="74" t="n">
        <v>2</v>
      </c>
      <c r="R9" s="30" t="inlineStr">
        <is>
          <t>Total</t>
        </is>
      </c>
      <c r="S9" s="30">
        <f>SUM(S4:S8)</f>
        <v/>
      </c>
      <c r="T9" s="30">
        <f>SUM(T4:T8)</f>
        <v/>
      </c>
      <c r="U9" s="54">
        <f>T9/$K$16</f>
        <v/>
      </c>
      <c r="V9" s="50">
        <f>$K$20+U9</f>
        <v/>
      </c>
    </row>
    <row r="10">
      <c r="B10" s="72" t="n"/>
      <c r="C10" s="65" t="inlineStr">
        <is>
          <t>PENDIENTE</t>
        </is>
      </c>
      <c r="D10" s="75" t="n"/>
      <c r="E10" s="74" t="n"/>
      <c r="F10" s="74" t="n"/>
      <c r="G10" s="74" t="n"/>
      <c r="H10" s="74" t="n"/>
      <c r="I10" s="72" t="n"/>
      <c r="J10" s="72" t="n">
        <v>1</v>
      </c>
      <c r="K10" s="76" t="n">
        <v>2</v>
      </c>
      <c r="L10" s="72" t="n"/>
      <c r="M10" s="72" t="n"/>
      <c r="N10" s="72" t="n"/>
      <c r="O10" s="72" t="n"/>
      <c r="P10" s="74" t="n">
        <v>3</v>
      </c>
    </row>
    <row r="11">
      <c r="B11" s="65" t="inlineStr">
        <is>
          <t>NOK Total</t>
        </is>
      </c>
      <c r="C11" s="72" t="n"/>
      <c r="D11" s="75" t="n">
        <v>13</v>
      </c>
      <c r="E11" s="74" t="n">
        <v>6</v>
      </c>
      <c r="F11" s="74" t="n">
        <v>4</v>
      </c>
      <c r="G11" s="74" t="n">
        <v>11</v>
      </c>
      <c r="H11" s="74" t="n">
        <v>6</v>
      </c>
      <c r="I11" s="72" t="n">
        <v>3</v>
      </c>
      <c r="J11" s="72" t="n">
        <v>3</v>
      </c>
      <c r="K11" s="76" t="n">
        <v>4</v>
      </c>
      <c r="L11" s="72" t="n"/>
      <c r="M11" s="72" t="n"/>
      <c r="N11" s="72" t="n"/>
      <c r="O11" s="72" t="n"/>
      <c r="P11" s="74" t="n">
        <v>50</v>
      </c>
    </row>
    <row r="12">
      <c r="B12" s="65" t="inlineStr">
        <is>
          <t>OK</t>
        </is>
      </c>
      <c r="C12" s="65" t="inlineStr">
        <is>
          <t>COMPLETA</t>
        </is>
      </c>
      <c r="D12" s="75" t="n">
        <v>95</v>
      </c>
      <c r="E12" s="74" t="n">
        <v>111</v>
      </c>
      <c r="F12" s="74" t="n">
        <v>88</v>
      </c>
      <c r="G12" s="74" t="n">
        <v>115</v>
      </c>
      <c r="H12" s="74" t="n">
        <v>141</v>
      </c>
      <c r="I12" s="72" t="n">
        <v>97</v>
      </c>
      <c r="J12" s="72" t="n">
        <v>70</v>
      </c>
      <c r="K12" s="76" t="n">
        <v>99</v>
      </c>
      <c r="L12" s="72" t="n">
        <v>14</v>
      </c>
      <c r="M12" s="72" t="n">
        <v>1</v>
      </c>
      <c r="N12" s="72" t="n"/>
      <c r="O12" s="72" t="n"/>
      <c r="P12" s="74" t="n">
        <v>831</v>
      </c>
    </row>
    <row r="13">
      <c r="B13" s="72" t="n"/>
      <c r="C13" s="65" t="inlineStr">
        <is>
          <t>PARCIAL</t>
        </is>
      </c>
      <c r="D13" s="75" t="n"/>
      <c r="E13" s="74" t="n"/>
      <c r="F13" s="74" t="n"/>
      <c r="G13" s="74" t="n"/>
      <c r="H13" s="74" t="n"/>
      <c r="I13" s="72" t="n"/>
      <c r="J13" s="72" t="n"/>
      <c r="K13" s="76" t="n">
        <v>2</v>
      </c>
      <c r="L13" s="72" t="n"/>
      <c r="M13" s="72" t="n">
        <v>1</v>
      </c>
      <c r="N13" s="72" t="n"/>
      <c r="O13" s="72" t="n"/>
      <c r="P13" s="74" t="n">
        <v>3</v>
      </c>
    </row>
    <row r="14">
      <c r="B14" s="72" t="n"/>
      <c r="C14" s="65" t="inlineStr">
        <is>
          <t>PENDIENTE</t>
        </is>
      </c>
      <c r="D14" s="75" t="n"/>
      <c r="E14" s="74" t="n"/>
      <c r="F14" s="74" t="n"/>
      <c r="G14" s="74" t="n"/>
      <c r="H14" s="74" t="n"/>
      <c r="I14" s="72" t="n"/>
      <c r="J14" s="72" t="n"/>
      <c r="K14" s="76" t="n">
        <v>18</v>
      </c>
      <c r="L14" s="72" t="n">
        <v>58</v>
      </c>
      <c r="M14" s="72" t="n">
        <v>31</v>
      </c>
      <c r="N14" s="72" t="n">
        <v>28</v>
      </c>
      <c r="O14" s="72" t="n">
        <v>5</v>
      </c>
      <c r="P14" s="74" t="n">
        <v>140</v>
      </c>
    </row>
    <row r="15">
      <c r="B15" s="65" t="inlineStr">
        <is>
          <t>OK Total</t>
        </is>
      </c>
      <c r="C15" s="72" t="n"/>
      <c r="D15" s="75" t="n">
        <v>95</v>
      </c>
      <c r="E15" s="74" t="n">
        <v>111</v>
      </c>
      <c r="F15" s="74" t="n">
        <v>88</v>
      </c>
      <c r="G15" s="74" t="n">
        <v>115</v>
      </c>
      <c r="H15" s="74" t="n">
        <v>141</v>
      </c>
      <c r="I15" s="72" t="n">
        <v>97</v>
      </c>
      <c r="J15" s="72" t="n">
        <v>70</v>
      </c>
      <c r="K15" s="76" t="n">
        <v>119</v>
      </c>
      <c r="L15" s="72" t="n">
        <v>72</v>
      </c>
      <c r="M15" s="72" t="n">
        <v>33</v>
      </c>
      <c r="N15" s="72" t="n">
        <v>28</v>
      </c>
      <c r="O15" s="72" t="n">
        <v>5</v>
      </c>
      <c r="P15" s="74" t="n">
        <v>974</v>
      </c>
    </row>
    <row r="16">
      <c r="B16" s="65" t="inlineStr">
        <is>
          <t xml:space="preserve"> Total</t>
        </is>
      </c>
      <c r="C16" s="72" t="n"/>
      <c r="D16" s="75" t="n">
        <v>108</v>
      </c>
      <c r="E16" s="74" t="n">
        <v>117</v>
      </c>
      <c r="F16" s="74" t="n">
        <v>92</v>
      </c>
      <c r="G16" s="74" t="n">
        <v>126</v>
      </c>
      <c r="H16" s="74" t="n">
        <v>147</v>
      </c>
      <c r="I16" s="72" t="n">
        <v>100</v>
      </c>
      <c r="J16" s="72" t="n">
        <v>73</v>
      </c>
      <c r="K16" s="76" t="n">
        <v>123</v>
      </c>
      <c r="L16" s="72" t="n">
        <v>72</v>
      </c>
      <c r="M16" s="72" t="n">
        <v>33</v>
      </c>
      <c r="N16" s="72" t="n">
        <v>28</v>
      </c>
      <c r="O16" s="72" t="n">
        <v>5</v>
      </c>
      <c r="P16" s="74" t="n">
        <v>1024</v>
      </c>
    </row>
    <row r="17" ht="13" customHeight="1" thickBot="1"/>
    <row r="18">
      <c r="B18" s="69" t="inlineStr">
        <is>
          <t>Resultados</t>
        </is>
      </c>
      <c r="D18" s="32">
        <f>D7</f>
        <v/>
      </c>
      <c r="E18" s="32">
        <f>E7</f>
        <v/>
      </c>
      <c r="F18" s="32">
        <f>F7</f>
        <v/>
      </c>
      <c r="G18" s="32">
        <f>G7</f>
        <v/>
      </c>
      <c r="H18" s="32">
        <f>H7</f>
        <v/>
      </c>
      <c r="I18" s="32">
        <f>I7</f>
        <v/>
      </c>
      <c r="J18" s="32">
        <f>J7</f>
        <v/>
      </c>
      <c r="K18" s="45">
        <f>K7</f>
        <v/>
      </c>
      <c r="L18" s="32">
        <f>L7</f>
        <v/>
      </c>
      <c r="M18" s="32">
        <f>M7</f>
        <v/>
      </c>
      <c r="N18" s="32">
        <f>N7</f>
        <v/>
      </c>
      <c r="O18" s="32">
        <f>O7</f>
        <v/>
      </c>
      <c r="P18" s="45">
        <f>P6</f>
        <v/>
      </c>
      <c r="Q18" s="41" t="n"/>
    </row>
    <row r="19">
      <c r="B19" s="70" t="inlineStr">
        <is>
          <t>META</t>
        </is>
      </c>
      <c r="D19" s="33" t="n">
        <v>0.9399999999999999</v>
      </c>
      <c r="E19" s="33" t="n">
        <v>0.9399999999999999</v>
      </c>
      <c r="F19" s="33" t="n">
        <v>0.9399999999999999</v>
      </c>
      <c r="G19" s="33" t="n">
        <v>0.9399999999999999</v>
      </c>
      <c r="H19" s="33" t="n">
        <v>0.9399999999999999</v>
      </c>
      <c r="I19" s="33" t="n">
        <v>0.9399999999999999</v>
      </c>
      <c r="J19" s="33" t="n">
        <v>0.9399999999999999</v>
      </c>
      <c r="K19" s="46" t="n">
        <v>0.9399999999999999</v>
      </c>
      <c r="L19" s="33" t="n">
        <v>0.9399999999999999</v>
      </c>
      <c r="M19" s="33" t="n">
        <v>0.9399999999999999</v>
      </c>
      <c r="N19" s="33" t="n">
        <v>0.9399999999999999</v>
      </c>
      <c r="O19" s="33" t="n">
        <v>0.9399999999999999</v>
      </c>
      <c r="P19" s="46" t="n">
        <v>0.9399999999999999</v>
      </c>
      <c r="Q19" s="35" t="n"/>
    </row>
    <row r="20">
      <c r="B20" s="68" t="inlineStr">
        <is>
          <t>OK</t>
        </is>
      </c>
      <c r="D20" s="34">
        <f>D12/D16</f>
        <v/>
      </c>
      <c r="E20" s="34">
        <f>E12/E16</f>
        <v/>
      </c>
      <c r="F20" s="34">
        <f>F12/F16</f>
        <v/>
      </c>
      <c r="G20" s="34">
        <f>G12/G16</f>
        <v/>
      </c>
      <c r="H20" s="34">
        <f>H12/H16</f>
        <v/>
      </c>
      <c r="I20" s="34">
        <f>I12/I16</f>
        <v/>
      </c>
      <c r="J20" s="34">
        <f>J12/J16</f>
        <v/>
      </c>
      <c r="K20" s="47">
        <f>K12/K16</f>
        <v/>
      </c>
      <c r="L20" s="34">
        <f>L12/L16</f>
        <v/>
      </c>
      <c r="M20" s="34">
        <f>M12/M16</f>
        <v/>
      </c>
      <c r="N20" s="34">
        <f>N12/N16</f>
        <v/>
      </c>
      <c r="O20" s="34">
        <f>O12/O16</f>
        <v/>
      </c>
      <c r="P20" s="47">
        <f>P12/P16</f>
        <v/>
      </c>
      <c r="Q20" s="34" t="n"/>
    </row>
    <row r="21">
      <c r="B21" s="68" t="inlineStr">
        <is>
          <t>NOK</t>
        </is>
      </c>
      <c r="D21" s="35">
        <f>D11/D16</f>
        <v/>
      </c>
      <c r="E21" s="35">
        <f>E11/E16</f>
        <v/>
      </c>
      <c r="F21" s="35">
        <f>F11/F16</f>
        <v/>
      </c>
      <c r="G21" s="35">
        <f>G11/G16</f>
        <v/>
      </c>
      <c r="H21" s="35">
        <f>H11/H16</f>
        <v/>
      </c>
      <c r="I21" s="35">
        <f>I11/I16</f>
        <v/>
      </c>
      <c r="J21" s="35">
        <f>J11/J16</f>
        <v/>
      </c>
      <c r="K21" s="48">
        <f>K11/K16</f>
        <v/>
      </c>
      <c r="L21" s="35">
        <f>L11/L16</f>
        <v/>
      </c>
      <c r="M21" s="35">
        <f>M11/M16</f>
        <v/>
      </c>
      <c r="N21" s="35">
        <f>N11/N16</f>
        <v/>
      </c>
      <c r="O21" s="35">
        <f>O11/O16</f>
        <v/>
      </c>
      <c r="P21" s="48">
        <f>P11/P16</f>
        <v/>
      </c>
      <c r="Q21" s="35" t="n"/>
    </row>
    <row r="22">
      <c r="B22" s="68" t="inlineStr">
        <is>
          <t>EN PROCESO</t>
        </is>
      </c>
      <c r="D22" s="35">
        <f>(D13+D14)/D16</f>
        <v/>
      </c>
      <c r="E22" s="35">
        <f>(E13+E14)/E16</f>
        <v/>
      </c>
      <c r="F22" s="35">
        <f>(F13+F14)/F16</f>
        <v/>
      </c>
      <c r="G22" s="35">
        <f>(G13+G14)/G16</f>
        <v/>
      </c>
      <c r="H22" s="35">
        <f>(H13+H14)/H16</f>
        <v/>
      </c>
      <c r="I22" s="35">
        <f>(I13+I14)/I16</f>
        <v/>
      </c>
      <c r="J22" s="35">
        <f>(J13+J14)/J16</f>
        <v/>
      </c>
      <c r="K22" s="48">
        <f>(K13+K14)/K16</f>
        <v/>
      </c>
      <c r="L22" s="35">
        <f>(L13+L14)/L16</f>
        <v/>
      </c>
      <c r="M22" s="35">
        <f>(M13+M14)/M16</f>
        <v/>
      </c>
      <c r="N22" s="35">
        <f>(N13+N14)/N16</f>
        <v/>
      </c>
      <c r="O22" s="35">
        <f>(O13+O14)/O16</f>
        <v/>
      </c>
      <c r="P22" s="48">
        <f>(P13+P14)/P16</f>
        <v/>
      </c>
      <c r="Q22" s="35" t="n"/>
    </row>
    <row r="23" ht="13" customHeight="1" thickBot="1">
      <c r="B23" s="68" t="inlineStr">
        <is>
          <t>OPORTUNIDAD</t>
        </is>
      </c>
      <c r="D23" s="35">
        <f>D20+D22</f>
        <v/>
      </c>
      <c r="E23" s="35">
        <f>E20+E22</f>
        <v/>
      </c>
      <c r="F23" s="35">
        <f>F20+F22</f>
        <v/>
      </c>
      <c r="G23" s="35">
        <f>G20+G22</f>
        <v/>
      </c>
      <c r="H23" s="35">
        <f>H20+H22</f>
        <v/>
      </c>
      <c r="I23" s="35">
        <f>I20+I22</f>
        <v/>
      </c>
      <c r="J23" s="35">
        <f>J20+J22</f>
        <v/>
      </c>
      <c r="K23" s="49">
        <f>K20+K22</f>
        <v/>
      </c>
      <c r="L23" s="35">
        <f>L20+L22</f>
        <v/>
      </c>
      <c r="M23" s="35">
        <f>M20+M22</f>
        <v/>
      </c>
      <c r="N23" s="35">
        <f>N20+N22</f>
        <v/>
      </c>
      <c r="O23" s="35">
        <f>O20+O22</f>
        <v/>
      </c>
      <c r="P23" s="49">
        <f>P20+P22</f>
        <v/>
      </c>
      <c r="Q23" s="35" t="n"/>
    </row>
    <row r="27">
      <c r="J27" s="53" t="n"/>
    </row>
  </sheetData>
  <mergeCells count="7">
    <mergeCell ref="B21:C21"/>
    <mergeCell ref="B19:C19"/>
    <mergeCell ref="B20:C20"/>
    <mergeCell ref="B23:C23"/>
    <mergeCell ref="B22:C22"/>
    <mergeCell ref="B1:P1"/>
    <mergeCell ref="B18:C18"/>
  </mergeCells>
  <conditionalFormatting sqref="B19 B23">
    <cfRule type="containsText" priority="1" operator="containsText" dxfId="62" text="error">
      <formula>NOT(ISERROR(SEARCH("error",B19)))</formula>
    </cfRule>
    <cfRule type="containsText" priority="2" operator="containsText" dxfId="61" text="ok">
      <formula>NOT(ISERROR(SEARCH("ok",B19)))</formula>
    </cfRule>
  </conditionalFormatting>
  <pageMargins left="0.7" right="0.7" top="0.75" bottom="0.75" header="0.3" footer="0.3"/>
  <headerFooter>
    <oddHeader>&amp;C&amp;"Calibri"&amp;1 &amp;K000000 BHP Confidential#_x000d_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S23"/>
  <sheetViews>
    <sheetView showGridLines="0" zoomScale="115" zoomScaleNormal="115" workbookViewId="0">
      <selection activeCell="D14" sqref="D14"/>
    </sheetView>
  </sheetViews>
  <sheetFormatPr baseColWidth="8" defaultColWidth="8.7265625" defaultRowHeight="12.5"/>
  <cols>
    <col width="2.1796875" customWidth="1" style="55" min="1" max="1"/>
    <col width="25.36328125" bestFit="1" customWidth="1" style="55" min="2" max="2"/>
    <col width="10.453125" bestFit="1" customWidth="1" style="55" min="3" max="3"/>
    <col width="13.54296875" bestFit="1" customWidth="1" style="55" min="4" max="4"/>
    <col width="3.453125" bestFit="1" customWidth="1" style="55" min="5" max="5"/>
    <col width="3.36328125" bestFit="1" customWidth="1" style="55" min="6" max="6"/>
    <col width="3.26953125" bestFit="1" customWidth="1" style="55" min="7" max="7"/>
    <col width="3.6328125" bestFit="1" customWidth="1" style="55" min="8" max="8"/>
    <col width="3.453125" bestFit="1" customWidth="1" style="55" min="9" max="9"/>
    <col width="2.90625" bestFit="1" customWidth="1" style="55" min="10" max="10"/>
    <col width="3.6328125" bestFit="1" customWidth="1" style="55" min="11" max="11"/>
    <col width="3.54296875" bestFit="1" customWidth="1" style="55" min="12" max="12"/>
    <col width="3.1796875" bestFit="1" customWidth="1" style="55" min="13" max="13"/>
    <col width="3.6328125" bestFit="1" customWidth="1" style="55" min="14" max="14"/>
    <col width="3.54296875" bestFit="1" customWidth="1" style="55" min="15" max="15"/>
    <col width="4.26953125" bestFit="1" customWidth="1" style="55" min="16" max="16"/>
    <col width="5" bestFit="1" customWidth="1" style="55" min="17" max="18"/>
    <col width="4.81640625" bestFit="1" customWidth="1" style="55" min="19" max="19"/>
    <col width="9.7265625" bestFit="1" customWidth="1" style="55" min="20" max="20"/>
    <col width="11.1796875" bestFit="1" customWidth="1" style="55" min="21" max="21"/>
    <col width="32.26953125" bestFit="1" customWidth="1" style="55" min="22" max="294"/>
    <col width="11.1796875" bestFit="1" customWidth="1" style="55" min="295" max="295"/>
    <col width="8.7265625" customWidth="1" style="55" min="296" max="16384"/>
  </cols>
  <sheetData>
    <row r="1">
      <c r="B1" s="71" t="inlineStr">
        <is>
          <t>DIFOT - CONTRATO/FUERA DE CONTRATO</t>
        </is>
      </c>
    </row>
    <row r="2" ht="7" customHeight="1"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</row>
    <row r="3">
      <c r="B3" s="59" t="inlineStr">
        <is>
          <t>Contract (Outline Agreement) No - Key</t>
        </is>
      </c>
      <c r="C3" s="60" t="inlineStr">
        <is>
          <t>(All)</t>
        </is>
      </c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</row>
    <row r="4">
      <c r="B4" s="74" t="n"/>
      <c r="C4" s="74" t="n"/>
      <c r="D4" s="74" t="n"/>
      <c r="E4" s="74" t="n"/>
      <c r="F4" s="74" t="n"/>
      <c r="G4" s="74" t="n"/>
      <c r="H4" s="74" t="n"/>
      <c r="I4" s="74" t="n"/>
      <c r="J4" s="74" t="n"/>
      <c r="K4" s="74" t="n"/>
      <c r="L4" s="74" t="n"/>
      <c r="M4" s="74" t="n"/>
      <c r="N4" s="74" t="n"/>
      <c r="O4" s="74" t="n"/>
      <c r="P4" s="74" t="n"/>
    </row>
    <row r="5">
      <c r="B5" s="59" t="inlineStr">
        <is>
          <t>Sum of No. of PO Schd Line</t>
        </is>
      </c>
      <c r="C5" s="61" t="n"/>
      <c r="D5" s="59" t="inlineStr">
        <is>
          <t>Column Labels</t>
        </is>
      </c>
      <c r="E5" s="74" t="n"/>
      <c r="F5" s="74" t="n"/>
      <c r="G5" s="74" t="n"/>
      <c r="H5" s="74" t="n"/>
      <c r="I5" s="74" t="n"/>
      <c r="J5" s="74" t="n"/>
      <c r="K5" s="74" t="n"/>
      <c r="L5" s="74" t="n"/>
      <c r="M5" s="74" t="n"/>
      <c r="N5" s="74" t="n"/>
      <c r="O5" s="74" t="n"/>
      <c r="P5" s="74" t="n"/>
    </row>
    <row r="6">
      <c r="B6" s="61" t="n"/>
      <c r="C6" s="61" t="n"/>
      <c r="D6" s="74" t="inlineStr">
        <is>
          <t>2026</t>
        </is>
      </c>
      <c r="E6" s="74" t="n"/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  <c r="P6" s="74" t="inlineStr">
        <is>
          <t>Total</t>
        </is>
      </c>
    </row>
    <row r="7">
      <c r="B7" s="62" t="inlineStr">
        <is>
          <t>Row Labels</t>
        </is>
      </c>
      <c r="C7" s="62" t="inlineStr">
        <is>
          <t>DELIVERY</t>
        </is>
      </c>
      <c r="D7" s="74" t="inlineStr">
        <is>
          <t>Jan</t>
        </is>
      </c>
      <c r="E7" s="74" t="inlineStr">
        <is>
          <t>Feb</t>
        </is>
      </c>
      <c r="F7" s="74" t="inlineStr">
        <is>
          <t>Mar</t>
        </is>
      </c>
      <c r="G7" s="74" t="inlineStr">
        <is>
          <t>Apr</t>
        </is>
      </c>
      <c r="H7" s="74" t="inlineStr">
        <is>
          <t>May</t>
        </is>
      </c>
      <c r="I7" s="74" t="inlineStr">
        <is>
          <t>Jun</t>
        </is>
      </c>
      <c r="J7" s="74" t="inlineStr">
        <is>
          <t>Jul</t>
        </is>
      </c>
      <c r="K7" s="74" t="inlineStr">
        <is>
          <t>Aug</t>
        </is>
      </c>
      <c r="L7" s="74" t="inlineStr">
        <is>
          <t>Sep</t>
        </is>
      </c>
      <c r="M7" s="74" t="inlineStr">
        <is>
          <t>Oct</t>
        </is>
      </c>
      <c r="N7" s="74" t="inlineStr">
        <is>
          <t>Nov</t>
        </is>
      </c>
      <c r="O7" s="74" t="inlineStr">
        <is>
          <t>Dec</t>
        </is>
      </c>
      <c r="P7" s="74" t="n"/>
    </row>
    <row r="8">
      <c r="B8" s="63" t="inlineStr">
        <is>
          <t>NOK</t>
        </is>
      </c>
      <c r="C8" s="63" t="inlineStr">
        <is>
          <t>COMPLETA</t>
        </is>
      </c>
      <c r="D8" s="72" t="n">
        <v>14</v>
      </c>
      <c r="E8" s="72" t="n">
        <v>12</v>
      </c>
      <c r="F8" s="72" t="n">
        <v>5</v>
      </c>
      <c r="G8" s="72" t="n">
        <v>11</v>
      </c>
      <c r="H8" s="72" t="n">
        <v>6</v>
      </c>
      <c r="I8" s="72" t="n">
        <v>3</v>
      </c>
      <c r="J8" s="72" t="n">
        <v>2</v>
      </c>
      <c r="K8" s="72" t="n">
        <v>1</v>
      </c>
      <c r="L8" s="72" t="n"/>
      <c r="M8" s="72" t="n"/>
      <c r="N8" s="72" t="n"/>
      <c r="O8" s="72" t="n"/>
      <c r="P8" s="72" t="n">
        <v>54</v>
      </c>
    </row>
    <row r="9">
      <c r="B9" s="74" t="n"/>
      <c r="C9" s="63" t="inlineStr">
        <is>
          <t>PARCIAL</t>
        </is>
      </c>
      <c r="D9" s="72" t="n"/>
      <c r="E9" s="72" t="n"/>
      <c r="F9" s="72" t="n"/>
      <c r="G9" s="72" t="n"/>
      <c r="H9" s="72" t="n"/>
      <c r="I9" s="72" t="n"/>
      <c r="J9" s="72" t="n"/>
      <c r="K9" s="72" t="n">
        <v>2</v>
      </c>
      <c r="L9" s="72" t="n"/>
      <c r="M9" s="72" t="n"/>
      <c r="N9" s="72" t="n"/>
      <c r="O9" s="72" t="n"/>
      <c r="P9" s="72" t="n">
        <v>2</v>
      </c>
    </row>
    <row r="10">
      <c r="B10" s="74" t="n"/>
      <c r="C10" s="63" t="inlineStr">
        <is>
          <t>PENDIENTE</t>
        </is>
      </c>
      <c r="D10" s="72" t="n"/>
      <c r="E10" s="72" t="n"/>
      <c r="F10" s="72" t="n"/>
      <c r="G10" s="72" t="n"/>
      <c r="H10" s="72" t="n"/>
      <c r="I10" s="72" t="n"/>
      <c r="J10" s="72" t="n">
        <v>1</v>
      </c>
      <c r="K10" s="72" t="n">
        <v>3</v>
      </c>
      <c r="L10" s="72" t="n"/>
      <c r="M10" s="72" t="n"/>
      <c r="N10" s="72" t="n"/>
      <c r="O10" s="72" t="n"/>
      <c r="P10" s="72" t="n">
        <v>4</v>
      </c>
    </row>
    <row r="11">
      <c r="B11" s="63" t="inlineStr">
        <is>
          <t>NOK Total</t>
        </is>
      </c>
      <c r="C11" s="74" t="n"/>
      <c r="D11" s="72" t="n">
        <v>14</v>
      </c>
      <c r="E11" s="72" t="n">
        <v>12</v>
      </c>
      <c r="F11" s="72" t="n">
        <v>5</v>
      </c>
      <c r="G11" s="72" t="n">
        <v>11</v>
      </c>
      <c r="H11" s="72" t="n">
        <v>6</v>
      </c>
      <c r="I11" s="72" t="n">
        <v>3</v>
      </c>
      <c r="J11" s="72" t="n">
        <v>3</v>
      </c>
      <c r="K11" s="72" t="n">
        <v>6</v>
      </c>
      <c r="L11" s="72" t="n"/>
      <c r="M11" s="72" t="n"/>
      <c r="N11" s="72" t="n"/>
      <c r="O11" s="72" t="n"/>
      <c r="P11" s="72" t="n">
        <v>60</v>
      </c>
    </row>
    <row r="12">
      <c r="B12" s="63" t="inlineStr">
        <is>
          <t>OK</t>
        </is>
      </c>
      <c r="C12" s="63" t="inlineStr">
        <is>
          <t>COMPLETA</t>
        </is>
      </c>
      <c r="D12" s="72" t="n">
        <v>107</v>
      </c>
      <c r="E12" s="72" t="n">
        <v>117</v>
      </c>
      <c r="F12" s="72" t="n">
        <v>96</v>
      </c>
      <c r="G12" s="72" t="n">
        <v>129</v>
      </c>
      <c r="H12" s="72" t="n">
        <v>155</v>
      </c>
      <c r="I12" s="72" t="n">
        <v>105</v>
      </c>
      <c r="J12" s="72" t="n">
        <v>84</v>
      </c>
      <c r="K12" s="72" t="n">
        <v>109</v>
      </c>
      <c r="L12" s="72" t="n">
        <v>14</v>
      </c>
      <c r="M12" s="72" t="n">
        <v>1</v>
      </c>
      <c r="N12" s="72" t="n"/>
      <c r="O12" s="72" t="n"/>
      <c r="P12" s="72" t="n">
        <v>917</v>
      </c>
    </row>
    <row r="13">
      <c r="B13" s="74" t="n"/>
      <c r="C13" s="63" t="inlineStr">
        <is>
          <t>PARCIAL</t>
        </is>
      </c>
      <c r="D13" s="72" t="n"/>
      <c r="E13" s="72" t="n"/>
      <c r="F13" s="72" t="n"/>
      <c r="G13" s="72" t="n"/>
      <c r="H13" s="72" t="n"/>
      <c r="I13" s="72" t="n"/>
      <c r="J13" s="72" t="n"/>
      <c r="K13" s="72" t="n">
        <v>2</v>
      </c>
      <c r="L13" s="72" t="n">
        <v>1</v>
      </c>
      <c r="M13" s="72" t="n">
        <v>1</v>
      </c>
      <c r="N13" s="72" t="n"/>
      <c r="O13" s="72" t="n"/>
      <c r="P13" s="72" t="n">
        <v>4</v>
      </c>
    </row>
    <row r="14">
      <c r="B14" s="74" t="n"/>
      <c r="C14" s="63" t="inlineStr">
        <is>
          <t>PENDIENTE</t>
        </is>
      </c>
      <c r="D14" s="72" t="n"/>
      <c r="E14" s="72" t="n"/>
      <c r="F14" s="72" t="n"/>
      <c r="G14" s="72" t="n"/>
      <c r="H14" s="72" t="n"/>
      <c r="I14" s="72" t="n"/>
      <c r="J14" s="72" t="n"/>
      <c r="K14" s="72" t="n">
        <v>19</v>
      </c>
      <c r="L14" s="72" t="n">
        <v>66</v>
      </c>
      <c r="M14" s="72" t="n">
        <v>38</v>
      </c>
      <c r="N14" s="72" t="n">
        <v>35</v>
      </c>
      <c r="O14" s="72" t="n">
        <v>5</v>
      </c>
      <c r="P14" s="72" t="n">
        <v>163</v>
      </c>
    </row>
    <row r="15">
      <c r="B15" s="63" t="inlineStr">
        <is>
          <t>OK Total</t>
        </is>
      </c>
      <c r="C15" s="74" t="n"/>
      <c r="D15" s="72" t="n">
        <v>107</v>
      </c>
      <c r="E15" s="72" t="n">
        <v>117</v>
      </c>
      <c r="F15" s="72" t="n">
        <v>96</v>
      </c>
      <c r="G15" s="72" t="n">
        <v>129</v>
      </c>
      <c r="H15" s="72" t="n">
        <v>155</v>
      </c>
      <c r="I15" s="72" t="n">
        <v>105</v>
      </c>
      <c r="J15" s="72" t="n">
        <v>84</v>
      </c>
      <c r="K15" s="72" t="n">
        <v>130</v>
      </c>
      <c r="L15" s="72" t="n">
        <v>81</v>
      </c>
      <c r="M15" s="72" t="n">
        <v>40</v>
      </c>
      <c r="N15" s="72" t="n">
        <v>35</v>
      </c>
      <c r="O15" s="72" t="n">
        <v>5</v>
      </c>
      <c r="P15" s="72" t="n">
        <v>1084</v>
      </c>
    </row>
    <row r="16">
      <c r="B16" s="65" t="inlineStr">
        <is>
          <t>Total</t>
        </is>
      </c>
      <c r="C16" s="72" t="n"/>
      <c r="D16" s="72" t="n">
        <v>121</v>
      </c>
      <c r="E16" s="72" t="n">
        <v>129</v>
      </c>
      <c r="F16" s="72" t="n">
        <v>101</v>
      </c>
      <c r="G16" s="72" t="n">
        <v>140</v>
      </c>
      <c r="H16" s="72" t="n">
        <v>161</v>
      </c>
      <c r="I16" s="72" t="n">
        <v>108</v>
      </c>
      <c r="J16" s="72" t="n">
        <v>87</v>
      </c>
      <c r="K16" s="72" t="n">
        <v>136</v>
      </c>
      <c r="L16" s="72" t="n">
        <v>81</v>
      </c>
      <c r="M16" s="72" t="n">
        <v>40</v>
      </c>
      <c r="N16" s="72" t="n">
        <v>35</v>
      </c>
      <c r="O16" s="72" t="n">
        <v>5</v>
      </c>
      <c r="P16" s="72" t="n">
        <v>1144</v>
      </c>
    </row>
    <row r="17" ht="13" customHeight="1" thickBot="1">
      <c r="B17" s="74" t="n"/>
      <c r="C17" s="74" t="n"/>
      <c r="D17" s="74" t="n"/>
      <c r="E17" s="74" t="n"/>
      <c r="F17" s="74" t="n"/>
      <c r="G17" s="74" t="n"/>
      <c r="H17" s="74" t="n"/>
      <c r="I17" s="74" t="n"/>
      <c r="J17" s="74" t="n"/>
      <c r="K17" s="74" t="n"/>
      <c r="L17" s="74" t="n"/>
      <c r="M17" s="74" t="n"/>
      <c r="N17" s="74" t="n"/>
      <c r="O17" s="74" t="n"/>
      <c r="P17" s="74" t="n"/>
    </row>
    <row r="18" ht="13" customHeight="1">
      <c r="B18" s="69" t="inlineStr">
        <is>
          <t>Resultados</t>
        </is>
      </c>
      <c r="D18" s="32">
        <f>D7</f>
        <v/>
      </c>
      <c r="E18" s="32">
        <f>E7</f>
        <v/>
      </c>
      <c r="F18" s="32">
        <f>F7</f>
        <v/>
      </c>
      <c r="G18" s="32">
        <f>G7</f>
        <v/>
      </c>
      <c r="H18" s="32">
        <f>H7</f>
        <v/>
      </c>
      <c r="I18" s="32">
        <f>I7</f>
        <v/>
      </c>
      <c r="J18" s="32">
        <f>J7</f>
        <v/>
      </c>
      <c r="K18" s="45">
        <f>K7</f>
        <v/>
      </c>
      <c r="L18" s="32">
        <f>L7</f>
        <v/>
      </c>
      <c r="M18" s="32">
        <f>M7</f>
        <v/>
      </c>
      <c r="N18" s="32">
        <f>N7</f>
        <v/>
      </c>
      <c r="O18" s="32">
        <f>O7</f>
        <v/>
      </c>
      <c r="P18" s="45">
        <f>P6</f>
        <v/>
      </c>
      <c r="Q18" s="56" t="n"/>
      <c r="R18" s="56" t="n"/>
      <c r="S18" s="56" t="n"/>
    </row>
    <row r="19">
      <c r="B19" s="70" t="inlineStr">
        <is>
          <t>META</t>
        </is>
      </c>
      <c r="D19" s="33" t="n">
        <v>0.9399999999999999</v>
      </c>
      <c r="E19" s="33" t="n">
        <v>0.9399999999999999</v>
      </c>
      <c r="F19" s="33" t="n">
        <v>0.9399999999999999</v>
      </c>
      <c r="G19" s="33" t="n">
        <v>0.9399999999999999</v>
      </c>
      <c r="H19" s="33" t="n">
        <v>0.9399999999999999</v>
      </c>
      <c r="I19" s="33" t="n">
        <v>0.9399999999999999</v>
      </c>
      <c r="J19" s="33" t="n">
        <v>0.9399999999999999</v>
      </c>
      <c r="K19" s="46" t="n">
        <v>0.9399999999999999</v>
      </c>
      <c r="L19" s="33" t="n">
        <v>0.9399999999999999</v>
      </c>
      <c r="M19" s="33" t="n">
        <v>0.9399999999999999</v>
      </c>
      <c r="N19" s="33" t="n">
        <v>0.9399999999999999</v>
      </c>
      <c r="O19" s="33" t="n">
        <v>0.9399999999999999</v>
      </c>
      <c r="P19" s="46" t="n">
        <v>1.94</v>
      </c>
      <c r="Q19" s="57" t="n"/>
      <c r="R19" s="57" t="n"/>
      <c r="S19" s="57" t="n"/>
    </row>
    <row r="20" ht="13" customHeight="1">
      <c r="B20" s="68" t="inlineStr">
        <is>
          <t>OK</t>
        </is>
      </c>
      <c r="D20" s="34">
        <f>D12/D16</f>
        <v/>
      </c>
      <c r="E20" s="34">
        <f>E12/E16</f>
        <v/>
      </c>
      <c r="F20" s="34">
        <f>F12/F16</f>
        <v/>
      </c>
      <c r="G20" s="34">
        <f>G12/G16</f>
        <v/>
      </c>
      <c r="H20" s="34">
        <f>H12/H16</f>
        <v/>
      </c>
      <c r="I20" s="34">
        <f>I12/I16</f>
        <v/>
      </c>
      <c r="J20" s="34">
        <f>J12/J16</f>
        <v/>
      </c>
      <c r="K20" s="34">
        <f>K12/K16</f>
        <v/>
      </c>
      <c r="L20" s="34">
        <f>L12/L16</f>
        <v/>
      </c>
      <c r="M20" s="34">
        <f>M12/M16</f>
        <v/>
      </c>
      <c r="N20" s="34">
        <f>N12/N16</f>
        <v/>
      </c>
      <c r="O20" s="34">
        <f>O12/O16</f>
        <v/>
      </c>
      <c r="P20" s="34">
        <f>P12/P16</f>
        <v/>
      </c>
      <c r="Q20" s="58" t="n"/>
      <c r="R20" s="58" t="n"/>
      <c r="S20" s="58" t="n"/>
    </row>
    <row r="21">
      <c r="B21" s="68" t="inlineStr">
        <is>
          <t>NOK</t>
        </is>
      </c>
      <c r="D21" s="35">
        <f>D11/D16</f>
        <v/>
      </c>
      <c r="E21" s="35">
        <f>E11/E16</f>
        <v/>
      </c>
      <c r="F21" s="35">
        <f>F11/F16</f>
        <v/>
      </c>
      <c r="G21" s="35">
        <f>G11/G16</f>
        <v/>
      </c>
      <c r="H21" s="35">
        <f>H11/H16</f>
        <v/>
      </c>
      <c r="I21" s="35">
        <f>I11/I16</f>
        <v/>
      </c>
      <c r="J21" s="35">
        <f>J11/J16</f>
        <v/>
      </c>
      <c r="K21" s="35">
        <f>K11/K16</f>
        <v/>
      </c>
      <c r="L21" s="35">
        <f>L11/L16</f>
        <v/>
      </c>
      <c r="M21" s="35">
        <f>M11/M16</f>
        <v/>
      </c>
      <c r="N21" s="35">
        <f>N11/N16</f>
        <v/>
      </c>
      <c r="O21" s="35">
        <f>O11/O16</f>
        <v/>
      </c>
      <c r="P21" s="35">
        <f>P11/P16</f>
        <v/>
      </c>
      <c r="Q21" s="57" t="n"/>
      <c r="R21" s="57" t="n"/>
      <c r="S21" s="57" t="n"/>
    </row>
    <row r="22">
      <c r="B22" s="68" t="inlineStr">
        <is>
          <t>EN PROCESO</t>
        </is>
      </c>
      <c r="D22" s="35">
        <f>(D13+D14)/D16</f>
        <v/>
      </c>
      <c r="E22" s="35">
        <f>(E13+E14)/E16</f>
        <v/>
      </c>
      <c r="F22" s="35">
        <f>(F13+F14)/F16</f>
        <v/>
      </c>
      <c r="G22" s="35">
        <f>(G13+G14)/G16</f>
        <v/>
      </c>
      <c r="H22" s="35">
        <f>(H13+H14)/H16</f>
        <v/>
      </c>
      <c r="I22" s="35">
        <f>(I13+I14)/I16</f>
        <v/>
      </c>
      <c r="J22" s="35">
        <f>(J13+J14)/J16</f>
        <v/>
      </c>
      <c r="K22" s="35">
        <f>(K13+K14)/K16</f>
        <v/>
      </c>
      <c r="L22" s="35">
        <f>(L13+L14)/L16</f>
        <v/>
      </c>
      <c r="M22" s="35">
        <f>(M13+M14)/M16</f>
        <v/>
      </c>
      <c r="N22" s="35">
        <f>(N13+N14)/N16</f>
        <v/>
      </c>
      <c r="O22" s="35">
        <f>(O13+O14)/O16</f>
        <v/>
      </c>
      <c r="P22" s="35">
        <f>(P13+P14)/P16</f>
        <v/>
      </c>
      <c r="Q22" s="57" t="n"/>
      <c r="R22" s="57" t="n"/>
      <c r="S22" s="57" t="n"/>
    </row>
    <row r="23">
      <c r="B23" s="68" t="inlineStr">
        <is>
          <t>OPORTUNIDAD</t>
        </is>
      </c>
      <c r="D23" s="35">
        <f>D20+D22</f>
        <v/>
      </c>
      <c r="E23" s="35">
        <f>E20+E22</f>
        <v/>
      </c>
      <c r="F23" s="35">
        <f>F20+F22</f>
        <v/>
      </c>
      <c r="G23" s="35">
        <f>G20+G22</f>
        <v/>
      </c>
      <c r="H23" s="35">
        <f>H20+H22</f>
        <v/>
      </c>
      <c r="I23" s="35">
        <f>I20+I22</f>
        <v/>
      </c>
      <c r="J23" s="35">
        <f>J20+J22</f>
        <v/>
      </c>
      <c r="K23" s="35">
        <f>K20+K22</f>
        <v/>
      </c>
      <c r="L23" s="35">
        <f>L20+L22</f>
        <v/>
      </c>
      <c r="M23" s="35">
        <f>M20+M22</f>
        <v/>
      </c>
      <c r="N23" s="35">
        <f>N20+N22</f>
        <v/>
      </c>
      <c r="O23" s="35">
        <f>O20+O22</f>
        <v/>
      </c>
      <c r="P23" s="35">
        <f>P20+P22</f>
        <v/>
      </c>
      <c r="Q23" s="57" t="n"/>
      <c r="R23" s="57" t="n"/>
      <c r="S23" s="57" t="n"/>
    </row>
  </sheetData>
  <mergeCells count="7">
    <mergeCell ref="B21:C21"/>
    <mergeCell ref="B19:C19"/>
    <mergeCell ref="B20:C20"/>
    <mergeCell ref="B23:C23"/>
    <mergeCell ref="B22:C22"/>
    <mergeCell ref="B1:P1"/>
    <mergeCell ref="B18:C18"/>
  </mergeCells>
  <conditionalFormatting sqref="B19 B23">
    <cfRule type="containsText" priority="1" operator="containsText" dxfId="62" text="error">
      <formula>NOT(ISERROR(SEARCH("error",B19)))</formula>
    </cfRule>
    <cfRule type="containsText" priority="2" operator="containsText" dxfId="61" text="ok">
      <formula>NOT(ISERROR(SEARCH("ok",B19)))</formula>
    </cfRule>
  </conditionalFormatting>
  <pageMargins left="0.7" right="0.7" top="0.75" bottom="0.75" header="0.3" footer="0.3"/>
  <headerFooter>
    <oddHeader>&amp;C&amp;"Calibri"&amp;1 &amp;K000000 BHP Confidential#_x000d_</oddHeader>
    <oddFooter/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"/>
  <sheetViews>
    <sheetView topLeftCell="U1128" workbookViewId="0">
      <selection activeCell="A2" sqref="A2:AD1150"/>
    </sheetView>
  </sheetViews>
  <sheetFormatPr baseColWidth="8" defaultColWidth="9.1796875" defaultRowHeight="12.5"/>
  <cols>
    <col width="17.1796875" customWidth="1" min="1" max="1"/>
    <col width="13" customWidth="1" min="2" max="2"/>
    <col width="12.1796875" customWidth="1" min="3" max="3"/>
    <col width="17.1796875" customWidth="1" min="4" max="4"/>
    <col width="29.54296875" customWidth="1" min="5" max="5"/>
    <col width="16.453125" customWidth="1" min="6" max="6"/>
    <col width="36" customWidth="1" min="7" max="7"/>
    <col width="32.453125" customWidth="1" min="8" max="8"/>
    <col width="18.81640625" customWidth="1" min="9" max="9"/>
    <col width="35.453125" customWidth="1" min="10" max="10"/>
    <col width="14.1796875" customWidth="1" min="11" max="11"/>
    <col width="21.7265625" customWidth="1" min="12" max="12"/>
    <col width="10.54296875" customWidth="1" min="13" max="13"/>
    <col width="32" customWidth="1" min="14" max="15"/>
    <col width="33.81640625" customWidth="1" min="16" max="16"/>
    <col width="23.54296875" customWidth="1" style="17" min="17" max="17"/>
    <col width="18.54296875" customWidth="1" style="17" min="18" max="18"/>
    <col width="26.453125" customWidth="1" style="17" min="19" max="19"/>
    <col width="28.1796875" customWidth="1" style="17" min="20" max="20"/>
    <col width="22.453125" customWidth="1" style="17" min="21" max="21"/>
    <col width="19.54296875" customWidth="1" min="22" max="22"/>
    <col width="15.54296875" customWidth="1" min="23" max="23"/>
    <col width="13" customWidth="1" min="24" max="24"/>
    <col width="7.7265625" customWidth="1" style="17" min="25" max="25"/>
    <col width="14" customWidth="1" min="26" max="26"/>
    <col width="11" customWidth="1" min="27" max="27"/>
    <col width="11.1796875" customWidth="1" min="28" max="28"/>
    <col width="15.54296875" customWidth="1" min="29" max="29"/>
  </cols>
  <sheetData>
    <row r="1" ht="11.5" customFormat="1" customHeight="1" s="1">
      <c r="A1" s="25" t="inlineStr">
        <is>
          <t>Region</t>
        </is>
      </c>
      <c r="B1" s="25" t="inlineStr">
        <is>
          <t>Asset</t>
        </is>
      </c>
      <c r="C1" s="22" t="inlineStr">
        <is>
          <t>Purch. Org. - Text</t>
        </is>
      </c>
      <c r="D1" s="22" t="inlineStr">
        <is>
          <t>Vendor(VN) - Key</t>
        </is>
      </c>
      <c r="E1" s="25" t="inlineStr">
        <is>
          <t>Vendor(VN) - Text</t>
        </is>
      </c>
      <c r="F1" s="22" t="inlineStr">
        <is>
          <t>IncoTerms - Key</t>
        </is>
      </c>
      <c r="G1" s="22" t="inlineStr">
        <is>
          <t>Inco term: Additional Information - Text</t>
        </is>
      </c>
      <c r="H1" s="22" t="inlineStr">
        <is>
          <t>Purchase Document Item No. - Key</t>
        </is>
      </c>
      <c r="I1" s="22" t="inlineStr">
        <is>
          <t>Purch. Group - Key</t>
        </is>
      </c>
      <c r="J1" s="36" t="inlineStr">
        <is>
          <t>Contract (Outline Agreement) No - Key</t>
        </is>
      </c>
      <c r="K1" s="25" t="inlineStr">
        <is>
          <t>Material - Key</t>
        </is>
      </c>
      <c r="L1" s="25" t="inlineStr">
        <is>
          <t>Material - Text</t>
        </is>
      </c>
      <c r="M1" s="25" t="inlineStr">
        <is>
          <t>Purchase Document Number - Key</t>
        </is>
      </c>
      <c r="N1" s="25" t="inlineStr">
        <is>
          <t>PO Item Quantity Order UOM</t>
        </is>
      </c>
      <c r="O1" s="22" t="inlineStr">
        <is>
          <t>Purch. Item Category - Text</t>
        </is>
      </c>
      <c r="P1" s="22" t="inlineStr">
        <is>
          <t>Indicator : Delivery Completion - Key</t>
        </is>
      </c>
      <c r="Q1" s="25" t="inlineStr">
        <is>
          <t>PO Document Date - Key</t>
        </is>
      </c>
      <c r="R1" s="36" t="inlineStr">
        <is>
          <t>Date : Calculated Delivery - Key</t>
        </is>
      </c>
      <c r="S1" s="22" t="inlineStr">
        <is>
          <t>Date: First GR Posting - Key</t>
        </is>
      </c>
      <c r="T1" s="25" t="inlineStr">
        <is>
          <t>Date: PO Statistical Delv - Key</t>
        </is>
      </c>
      <c r="U1" s="25" t="inlineStr">
        <is>
          <t>Date : PO Change - Key</t>
        </is>
      </c>
      <c r="V1" s="22" t="inlineStr">
        <is>
          <t>No. of PO Schd Line</t>
        </is>
      </c>
      <c r="W1" s="22" t="inlineStr">
        <is>
          <t>Count of DIFOT</t>
        </is>
      </c>
      <c r="X1" s="22" t="inlineStr">
        <is>
          <t>DIFOT%</t>
        </is>
      </c>
      <c r="Y1" s="26" t="inlineStr">
        <is>
          <t>SEMANA</t>
        </is>
      </c>
      <c r="Z1" s="26" t="inlineStr">
        <is>
          <t>MES</t>
        </is>
      </c>
      <c r="AA1" s="26" t="inlineStr">
        <is>
          <t>DELIVERY</t>
        </is>
      </c>
      <c r="AB1" s="26" t="inlineStr">
        <is>
          <t>DEADLINE</t>
        </is>
      </c>
      <c r="AC1" s="26" t="inlineStr">
        <is>
          <t>PERFORMANCE</t>
        </is>
      </c>
      <c r="AD1" s="26" t="inlineStr">
        <is>
          <t>AÑO</t>
        </is>
      </c>
    </row>
    <row r="2" ht="12.65" customHeight="1"/>
    <row r="3" ht="12.65" customHeight="1"/>
    <row r="4" ht="12.65" customHeight="1"/>
    <row r="5" ht="12.65" customHeight="1"/>
    <row r="6" ht="12.65" customHeight="1"/>
    <row r="7" ht="12.65" customHeight="1"/>
    <row r="8" ht="12.65" customHeight="1"/>
    <row r="9" ht="12.65" customHeight="1"/>
    <row r="10" ht="12.65" customHeight="1"/>
    <row r="11" ht="12.65" customHeight="1"/>
    <row r="12" ht="12.65" customHeight="1"/>
    <row r="13" ht="12.65" customHeight="1"/>
    <row r="14" ht="12.65" customHeight="1"/>
    <row r="15" ht="12.65" customHeight="1"/>
    <row r="16" ht="12.65" customHeight="1"/>
    <row r="17" ht="12.65" customHeight="1"/>
    <row r="18" ht="12.65" customHeight="1"/>
    <row r="19" ht="12.65" customHeight="1"/>
    <row r="20" ht="12.65" customHeight="1"/>
    <row r="21" ht="12.65" customHeight="1"/>
    <row r="22" ht="12.65" customHeight="1"/>
    <row r="23" ht="12.65" customHeight="1"/>
    <row r="24" ht="12.65" customHeight="1"/>
    <row r="25" ht="12.65" customHeight="1"/>
    <row r="26" ht="12.65" customHeight="1"/>
    <row r="27" ht="12.65" customHeight="1"/>
    <row r="28" ht="12.65" customHeight="1"/>
    <row r="29" ht="12.65" customHeight="1"/>
    <row r="30" ht="12.65" customHeight="1"/>
    <row r="31" ht="12.65" customHeight="1"/>
    <row r="32" ht="12.65" customHeight="1"/>
    <row r="33" ht="12.65" customHeight="1"/>
    <row r="34" ht="12.65" customHeight="1"/>
    <row r="35" ht="12.65" customHeight="1"/>
    <row r="36" ht="12.65" customHeight="1"/>
    <row r="37" ht="12.65" customHeight="1"/>
    <row r="38" ht="12.65" customHeight="1"/>
    <row r="39" ht="12.65" customHeight="1"/>
    <row r="40" ht="12.65" customHeight="1"/>
    <row r="41" ht="12.65" customHeight="1"/>
    <row r="42" ht="12.65" customHeight="1"/>
    <row r="43" ht="12.65" customHeight="1"/>
    <row r="44" ht="12.65" customHeight="1"/>
    <row r="45" ht="12.65" customHeight="1"/>
    <row r="46" ht="12.65" customHeight="1"/>
    <row r="47" ht="12.65" customHeight="1"/>
    <row r="48" ht="12.65" customHeight="1"/>
    <row r="49" ht="12.65" customHeight="1"/>
    <row r="50" ht="12.65" customHeight="1"/>
    <row r="51" ht="12.65" customHeight="1"/>
    <row r="52" ht="12.65" customHeight="1"/>
    <row r="53" ht="12.65" customHeight="1"/>
    <row r="54" ht="12.65" customHeight="1"/>
    <row r="55" ht="12.65" customHeight="1"/>
    <row r="56" ht="12.65" customHeight="1"/>
    <row r="57" ht="12.65" customHeight="1"/>
    <row r="58" ht="12.65" customHeight="1"/>
    <row r="59" ht="12.65" customHeight="1"/>
    <row r="60" ht="12.65" customHeight="1"/>
    <row r="61" ht="12.65" customHeight="1"/>
    <row r="62" ht="12.65" customHeight="1"/>
    <row r="63" ht="12.65" customHeight="1"/>
    <row r="64" ht="12.65" customHeight="1"/>
    <row r="65" ht="12.65" customHeight="1"/>
    <row r="66" ht="12.65" customHeight="1"/>
    <row r="67" ht="12.65" customHeight="1"/>
    <row r="68" ht="12.65" customHeight="1"/>
    <row r="69" ht="12.65" customHeight="1"/>
    <row r="70" ht="12.65" customHeight="1"/>
    <row r="71" ht="12.65" customHeight="1"/>
    <row r="72" ht="12.65" customHeight="1"/>
    <row r="73" ht="12.65" customHeight="1"/>
    <row r="74" ht="12.65" customHeight="1"/>
    <row r="75" ht="12.65" customHeight="1"/>
    <row r="76" ht="12.65" customHeight="1"/>
    <row r="77" ht="12.65" customHeight="1"/>
    <row r="78" ht="12.65" customHeight="1"/>
    <row r="79" ht="12.65" customHeight="1"/>
    <row r="80" ht="12.65" customHeight="1"/>
    <row r="81" ht="12.65" customHeight="1"/>
    <row r="82" ht="12.65" customHeight="1"/>
    <row r="83" ht="12.65" customHeight="1"/>
    <row r="84" ht="12.65" customHeight="1"/>
    <row r="85" ht="12.65" customHeight="1"/>
    <row r="86" ht="12.65" customHeight="1"/>
    <row r="87" ht="12.65" customHeight="1"/>
    <row r="88" ht="12.65" customHeight="1"/>
    <row r="89" ht="12.65" customHeight="1"/>
    <row r="90" ht="12.65" customHeight="1"/>
    <row r="91" ht="12.65" customHeight="1"/>
    <row r="92" ht="12.65" customHeight="1"/>
    <row r="93" ht="12.65" customHeight="1"/>
    <row r="94" ht="12.65" customHeight="1"/>
    <row r="95" ht="12.65" customHeight="1"/>
    <row r="96" ht="12.65" customHeight="1"/>
    <row r="97" ht="12.65" customHeight="1"/>
    <row r="98" ht="12.65" customHeight="1"/>
    <row r="99" ht="12.65" customHeight="1"/>
    <row r="100" ht="12.65" customHeight="1"/>
    <row r="101" ht="12.65" customHeight="1"/>
    <row r="102" ht="12.65" customHeight="1"/>
    <row r="103" ht="12.65" customHeight="1"/>
    <row r="104" ht="12.65" customHeight="1"/>
    <row r="105" ht="12.65" customHeight="1"/>
    <row r="106" ht="12.65" customHeight="1"/>
    <row r="107" ht="12.65" customHeight="1"/>
    <row r="108" ht="12.65" customHeight="1"/>
    <row r="109" ht="12.65" customHeight="1"/>
    <row r="110" ht="12.65" customHeight="1"/>
    <row r="111" ht="12.65" customHeight="1"/>
    <row r="112" ht="12.65" customHeight="1"/>
    <row r="113" ht="12.65" customHeight="1"/>
    <row r="114" ht="12.65" customHeight="1"/>
    <row r="115" ht="12.65" customHeight="1"/>
    <row r="116" ht="12.65" customHeight="1"/>
    <row r="117" ht="12.65" customHeight="1"/>
    <row r="118" ht="12.65" customHeight="1"/>
    <row r="119" ht="12.65" customHeight="1"/>
    <row r="120" ht="12.65" customHeight="1"/>
    <row r="121" ht="12.65" customHeight="1"/>
    <row r="122" ht="12.65" customHeight="1"/>
    <row r="123" ht="12.65" customHeight="1"/>
    <row r="124" ht="12.65" customHeight="1"/>
    <row r="125" ht="12.65" customHeight="1"/>
    <row r="126" ht="12.65" customHeight="1"/>
    <row r="127" ht="12.65" customHeight="1"/>
    <row r="128" ht="12.65" customHeight="1"/>
    <row r="129" ht="12.65" customHeight="1"/>
    <row r="130" ht="12.65" customHeight="1"/>
    <row r="131" ht="12.65" customHeight="1"/>
    <row r="132" ht="12.65" customHeight="1"/>
    <row r="133" ht="12.65" customHeight="1"/>
    <row r="134" ht="12.65" customHeight="1"/>
    <row r="135" ht="12.65" customHeight="1"/>
    <row r="136" ht="12.65" customHeight="1"/>
    <row r="137" ht="12.65" customHeight="1"/>
    <row r="138" ht="12.65" customHeight="1"/>
    <row r="139" ht="12.65" customHeight="1"/>
    <row r="140" ht="12.65" customHeight="1"/>
    <row r="141" ht="12.65" customHeight="1"/>
    <row r="142" ht="12.65" customHeight="1"/>
    <row r="143" ht="12.65" customHeight="1"/>
    <row r="144" ht="12.65" customHeight="1"/>
    <row r="145" ht="12.65" customHeight="1"/>
    <row r="146" ht="12.65" customHeight="1"/>
    <row r="147" ht="12.65" customHeight="1"/>
    <row r="148" ht="12.65" customHeight="1"/>
    <row r="149" ht="12.65" customHeight="1"/>
    <row r="150" ht="12.65" customHeight="1"/>
    <row r="151" ht="12.65" customHeight="1"/>
    <row r="152" ht="12.65" customHeight="1"/>
    <row r="153" ht="12.65" customHeight="1"/>
    <row r="154" ht="12.65" customHeight="1"/>
    <row r="155" ht="12.65" customHeight="1"/>
    <row r="156" ht="12.65" customHeight="1"/>
    <row r="157" ht="12.65" customHeight="1"/>
    <row r="158" ht="12.65" customHeight="1"/>
    <row r="159" ht="12.65" customHeight="1"/>
    <row r="160" ht="12.65" customHeight="1"/>
    <row r="161" ht="12.65" customHeight="1"/>
    <row r="162" ht="12.65" customHeight="1"/>
    <row r="163" ht="12.65" customHeight="1"/>
    <row r="164" ht="12.65" customHeight="1"/>
    <row r="165" ht="12.65" customHeight="1"/>
    <row r="166" ht="12.65" customHeight="1"/>
    <row r="167" ht="12.65" customHeight="1"/>
    <row r="168" ht="12.65" customHeight="1"/>
    <row r="169" ht="12.65" customHeight="1"/>
    <row r="170" ht="12.65" customHeight="1"/>
    <row r="171" ht="12.65" customHeight="1"/>
    <row r="172" ht="12.65" customHeight="1"/>
    <row r="173" ht="12.65" customHeight="1"/>
    <row r="174" ht="12.65" customHeight="1"/>
    <row r="175" ht="12.65" customHeight="1"/>
    <row r="176" ht="12.65" customHeight="1"/>
    <row r="177" ht="12.65" customHeight="1"/>
    <row r="178" ht="12.65" customHeight="1"/>
    <row r="179" ht="12.65" customHeight="1"/>
    <row r="180" ht="12.65" customHeight="1"/>
    <row r="181" ht="12.65" customHeight="1"/>
    <row r="182" ht="12.65" customHeight="1"/>
    <row r="183" ht="12.65" customHeight="1"/>
    <row r="184" ht="12.65" customHeight="1"/>
  </sheetData>
  <pageMargins left="0.7" right="0.7" top="0.75" bottom="0.75" header="0.3" footer="0.3"/>
  <pageSetup orientation="landscape" paperSize="8"/>
  <headerFooter alignWithMargins="0">
    <oddHeader>&amp;C&amp;"Calibri"&amp;1 &amp;K000000 BHP Confidential#_x000d_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Agono, Gilmin</dc:creator>
  <dcterms:created xsi:type="dcterms:W3CDTF">2025-01-09T20:40:50Z</dcterms:created>
  <dcterms:modified xsi:type="dcterms:W3CDTF">2026-10-05T19:12:01Z</dcterms:modified>
  <cp:lastModifiedBy>Maricel Tolosa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79bf2480-ad35-4243-acf4-be8b6731806e_Enabled" fmtid="{D5CDD505-2E9C-101B-9397-08002B2CF9AE}" pid="2">
    <vt:lpwstr>true</vt:lpwstr>
  </property>
  <property name="MSIP_Label_79bf2480-ad35-4243-acf4-be8b6731806e_SetDate" fmtid="{D5CDD505-2E9C-101B-9397-08002B2CF9AE}" pid="3">
    <vt:lpwstr>2025-01-09T22:34:59Z</vt:lpwstr>
  </property>
  <property name="MSIP_Label_79bf2480-ad35-4243-acf4-be8b6731806e_Method" fmtid="{D5CDD505-2E9C-101B-9397-08002B2CF9AE}" pid="4">
    <vt:lpwstr>Privileged</vt:lpwstr>
  </property>
  <property name="MSIP_Label_79bf2480-ad35-4243-acf4-be8b6731806e_Name" fmtid="{D5CDD505-2E9C-101B-9397-08002B2CF9AE}" pid="5">
    <vt:lpwstr>BHP_Confidential_UnProtected</vt:lpwstr>
  </property>
  <property name="MSIP_Label_79bf2480-ad35-4243-acf4-be8b6731806e_SiteId" fmtid="{D5CDD505-2E9C-101B-9397-08002B2CF9AE}" pid="6">
    <vt:lpwstr>4f6e1565-c2c7-43cb-8a4c-0981d022ce20</vt:lpwstr>
  </property>
  <property name="MSIP_Label_79bf2480-ad35-4243-acf4-be8b6731806e_ActionId" fmtid="{D5CDD505-2E9C-101B-9397-08002B2CF9AE}" pid="7">
    <vt:lpwstr>9645b000-d725-4794-a843-06602682e7a8</vt:lpwstr>
  </property>
  <property name="MSIP_Label_79bf2480-ad35-4243-acf4-be8b6731806e_ContentBits" fmtid="{D5CDD505-2E9C-101B-9397-08002B2CF9AE}" pid="8">
    <vt:lpwstr>1</vt:lpwstr>
  </property>
</Properties>
</file>