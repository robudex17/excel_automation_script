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Pendientes - Contrato" sheetId="1" state="visible" r:id="rId1"/>
    <sheet name="Resumen - Contrato" sheetId="2" state="visible" r:id="rId2"/>
    <sheet name="Resumen - Todo" sheetId="3" state="visible" r:id="rId3"/>
    <sheet name="Data" sheetId="4" state="visible" r:id="rId4"/>
  </sheets>
  <definedNames/>
  <calcPr calcId="191029" fullCalcOnLoad="1"/>
  <pivotCaches>
    <pivotCache cacheId="59" r:id="rId5"/>
  </pivotCaches>
</workbook>
</file>

<file path=xl/styles.xml><?xml version="1.0" encoding="utf-8"?>
<styleSheet xmlns="http://schemas.openxmlformats.org/spreadsheetml/2006/main">
  <numFmts count="3">
    <numFmt numFmtId="164" formatCode="[$-3409]dd\-mmm\-yy;@"/>
    <numFmt numFmtId="165" formatCode="##.00;\-##.00;0.00"/>
    <numFmt numFmtId="166" formatCode="0.0%"/>
  </numFmts>
  <fonts count="17">
    <font>
      <name val="Arial"/>
      <color rgb="FF000000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9"/>
    </font>
    <font>
      <name val="Arial"/>
      <family val="2"/>
      <color rgb="FF333333"/>
      <sz val="9"/>
    </font>
    <font>
      <name val="Arial"/>
      <family val="2"/>
      <color rgb="FF000000"/>
      <sz val="10"/>
    </font>
    <font>
      <name val="Arial"/>
      <family val="2"/>
      <color rgb="FF000000"/>
      <sz val="8"/>
    </font>
    <font>
      <name val="Arial"/>
      <family val="2"/>
      <b val="1"/>
      <color theme="1"/>
      <sz val="8"/>
    </font>
    <font>
      <name val="Arial"/>
      <family val="2"/>
      <color rgb="FF000000"/>
      <sz val="2"/>
    </font>
    <font>
      <name val="Arial"/>
      <family val="2"/>
      <color theme="4" tint="0.7999816888943144"/>
      <sz val="2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color theme="0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theme="0"/>
      <sz val="8"/>
    </font>
    <font>
      <name val="Arial"/>
      <family val="2"/>
      <color theme="4" tint="0.7999816888943144"/>
      <sz val="8"/>
    </font>
  </fonts>
  <fills count="12">
    <fill>
      <patternFill/>
    </fill>
    <fill>
      <patternFill patternType="gray125"/>
    </fill>
    <fill>
      <patternFill patternType="solid">
        <fgColor rgb="FF5B889B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3" tint="0.499984740745262"/>
        <bgColor rgb="FFFFFFFF"/>
      </patternFill>
    </fill>
    <fill>
      <patternFill patternType="solid">
        <fgColor theme="3" tint="0.249977111117893"/>
        <bgColor rgb="FFFFFFFF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"/>
        <bgColor rgb="FFFFFFFF"/>
      </patternFill>
    </fill>
    <fill>
      <patternFill patternType="solid">
        <fgColor theme="4" tint="-0.249977111117893"/>
        <bgColor rgb="FFFFFFFF"/>
      </patternFill>
    </fill>
  </fills>
  <borders count="13">
    <border>
      <left/>
      <right/>
      <top/>
      <bottom/>
      <diagonal/>
    </border>
    <border>
      <left/>
      <right style="thin">
        <color rgb="FFEBEBEB"/>
      </right>
      <top/>
      <bottom style="thin">
        <color rgb="FFEBEBEB"/>
      </bottom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  <border>
      <left/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/>
      <top style="thin">
        <color rgb="FFEBEBEB"/>
      </top>
      <bottom style="thin">
        <color rgb="FFEBEBEB"/>
      </bottom>
      <diagonal/>
    </border>
    <border>
      <left/>
      <right style="thin">
        <color rgb="FFEBEBEB"/>
      </right>
      <top style="thin">
        <color rgb="FFEBEBEB"/>
      </top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EBEBEB"/>
      </left>
      <right/>
      <top style="thin">
        <color rgb="FFEBEBEB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/>
    <xf numFmtId="0" fontId="4" fillId="0" borderId="0"/>
  </cellStyleXfs>
  <cellXfs count="77">
    <xf numFmtId="0" fontId="0" fillId="0" borderId="0" pivotButton="0" quotePrefix="0" xfId="0"/>
    <xf numFmtId="0" fontId="3" fillId="4" borderId="0" applyAlignment="1" pivotButton="0" quotePrefix="0" xfId="0">
      <alignment horizontal="left"/>
    </xf>
    <xf numFmtId="49" fontId="3" fillId="0" borderId="3" applyAlignment="1" pivotButton="0" quotePrefix="0" xfId="0">
      <alignment horizontal="left" vertical="center"/>
    </xf>
    <xf numFmtId="49" fontId="3" fillId="0" borderId="4" applyAlignment="1" pivotButton="0" quotePrefix="0" xfId="0">
      <alignment horizontal="left"/>
    </xf>
    <xf numFmtId="164" fontId="3" fillId="0" borderId="4" applyAlignment="1" pivotButton="0" quotePrefix="0" xfId="0">
      <alignment horizontal="left"/>
    </xf>
    <xf numFmtId="0" fontId="3" fillId="0" borderId="4" applyAlignment="1" pivotButton="0" quotePrefix="0" xfId="0">
      <alignment horizontal="right"/>
    </xf>
    <xf numFmtId="165" fontId="3" fillId="0" borderId="4" applyAlignment="1" pivotButton="0" quotePrefix="0" xfId="0">
      <alignment horizontal="right"/>
    </xf>
    <xf numFmtId="164" fontId="3" fillId="0" borderId="4" applyAlignment="1" pivotButton="0" quotePrefix="0" xfId="2">
      <alignment horizontal="left"/>
    </xf>
    <xf numFmtId="0" fontId="3" fillId="0" borderId="4" applyAlignment="1" pivotButton="0" quotePrefix="0" xfId="2">
      <alignment horizontal="left"/>
    </xf>
    <xf numFmtId="0" fontId="3" fillId="0" borderId="5" applyAlignment="1" pivotButton="0" quotePrefix="0" xfId="2">
      <alignment horizontal="left"/>
    </xf>
    <xf numFmtId="0" fontId="3" fillId="0" borderId="2" applyAlignment="1" pivotButton="0" quotePrefix="0" xfId="2">
      <alignment horizontal="left"/>
    </xf>
    <xf numFmtId="49" fontId="3" fillId="0" borderId="6" applyAlignment="1" pivotButton="0" quotePrefix="0" xfId="0">
      <alignment horizontal="left" vertical="center"/>
    </xf>
    <xf numFmtId="49" fontId="3" fillId="0" borderId="7" applyAlignment="1" pivotButton="0" quotePrefix="0" xfId="0">
      <alignment horizontal="left"/>
    </xf>
    <xf numFmtId="164" fontId="3" fillId="0" borderId="7" applyAlignment="1" pivotButton="0" quotePrefix="0" xfId="0">
      <alignment horizontal="left"/>
    </xf>
    <xf numFmtId="0" fontId="3" fillId="0" borderId="7" applyAlignment="1" pivotButton="0" quotePrefix="0" xfId="0">
      <alignment horizontal="right"/>
    </xf>
    <xf numFmtId="165" fontId="3" fillId="0" borderId="7" applyAlignment="1" pivotButton="0" quotePrefix="0" xfId="0">
      <alignment horizontal="right"/>
    </xf>
    <xf numFmtId="0" fontId="3" fillId="0" borderId="4" applyAlignment="1" pivotButton="0" quotePrefix="0" xfId="0">
      <alignment horizontal="left"/>
    </xf>
    <xf numFmtId="164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1" quotePrefix="0" xfId="0"/>
    <xf numFmtId="0" fontId="8" fillId="0" borderId="0" pivotButton="0" quotePrefix="0" xfId="0"/>
    <xf numFmtId="49" fontId="2" fillId="2" borderId="1" applyAlignment="1" pivotButton="0" quotePrefix="0" xfId="0">
      <alignment horizontal="left" vertical="center"/>
    </xf>
    <xf numFmtId="49" fontId="2" fillId="3" borderId="2" applyAlignment="1" pivotButton="0" quotePrefix="0" xfId="0">
      <alignment horizontal="left" vertical="center" wrapText="1"/>
    </xf>
    <xf numFmtId="49" fontId="2" fillId="3" borderId="2" applyAlignment="1" pivotButton="0" quotePrefix="0" xfId="0">
      <alignment horizontal="left" vertical="center"/>
    </xf>
    <xf numFmtId="49" fontId="2" fillId="5" borderId="1" applyAlignment="1" pivotButton="0" quotePrefix="0" xfId="0">
      <alignment horizontal="left" vertical="center"/>
    </xf>
    <xf numFmtId="49" fontId="2" fillId="6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9" fontId="9" fillId="8" borderId="0" applyAlignment="1" pivotButton="0" quotePrefix="0" xfId="1">
      <alignment horizontal="center" vertical="center"/>
    </xf>
    <xf numFmtId="9" fontId="10" fillId="0" borderId="0" applyAlignment="1" pivotButton="0" quotePrefix="0" xfId="1">
      <alignment horizontal="center" vertical="center"/>
    </xf>
    <xf numFmtId="9" fontId="9" fillId="0" borderId="0" applyAlignment="1" pivotButton="0" quotePrefix="0" xfId="1">
      <alignment horizontal="center" vertical="center"/>
    </xf>
    <xf numFmtId="49" fontId="2" fillId="10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49" fontId="2" fillId="11" borderId="1" applyAlignment="1" pivotButton="0" quotePrefix="0" xfId="0">
      <alignment horizontal="left" vertical="center"/>
    </xf>
    <xf numFmtId="0" fontId="3" fillId="0" borderId="5" applyAlignment="1" pivotButton="0" quotePrefix="0" xfId="0">
      <alignment horizontal="left"/>
    </xf>
    <xf numFmtId="1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3" fillId="0" borderId="7" applyAlignment="1" pivotButton="0" quotePrefix="0" xfId="0">
      <alignment horizontal="left"/>
    </xf>
    <xf numFmtId="0" fontId="3" fillId="0" borderId="9" applyAlignment="1" pivotButton="0" quotePrefix="0" xfId="0">
      <alignment horizontal="left"/>
    </xf>
    <xf numFmtId="0" fontId="10" fillId="7" borderId="10" applyAlignment="1" pivotButton="0" quotePrefix="0" xfId="0">
      <alignment horizontal="center" vertical="center"/>
    </xf>
    <xf numFmtId="9" fontId="9" fillId="8" borderId="11" applyAlignment="1" pivotButton="0" quotePrefix="0" xfId="1">
      <alignment horizontal="center" vertical="center"/>
    </xf>
    <xf numFmtId="9" fontId="10" fillId="0" borderId="11" applyAlignment="1" pivotButton="0" quotePrefix="0" xfId="1">
      <alignment horizontal="center" vertical="center"/>
    </xf>
    <xf numFmtId="9" fontId="9" fillId="0" borderId="11" applyAlignment="1" pivotButton="0" quotePrefix="0" xfId="1">
      <alignment horizontal="center" vertical="center"/>
    </xf>
    <xf numFmtId="9" fontId="9" fillId="0" borderId="12" applyAlignment="1" pivotButton="0" quotePrefix="0" xfId="1">
      <alignment horizontal="center" vertical="center"/>
    </xf>
    <xf numFmtId="166" fontId="5" fillId="7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9" fontId="0" fillId="0" borderId="0" applyAlignment="1" pivotButton="0" quotePrefix="0" xfId="1">
      <alignment horizontal="center"/>
    </xf>
    <xf numFmtId="166" fontId="5" fillId="7" borderId="8" applyAlignment="1" pivotButton="0" quotePrefix="0" xfId="1">
      <alignment horizontal="center" vertical="center"/>
    </xf>
    <xf numFmtId="0" fontId="4" fillId="0" borderId="0" pivotButton="0" quotePrefix="0" xfId="0"/>
    <xf numFmtId="0" fontId="14" fillId="0" borderId="0" applyAlignment="1" pivotButton="0" quotePrefix="0" xfId="0">
      <alignment horizontal="center" vertical="center"/>
    </xf>
    <xf numFmtId="9" fontId="13" fillId="0" borderId="0" applyAlignment="1" pivotButton="0" quotePrefix="0" xfId="1">
      <alignment horizontal="center" vertical="center"/>
    </xf>
    <xf numFmtId="9" fontId="14" fillId="0" borderId="0" applyAlignment="1" pivotButton="0" quotePrefix="0" xfId="1">
      <alignment horizontal="center" vertical="center"/>
    </xf>
    <xf numFmtId="0" fontId="16" fillId="0" borderId="0" pivotButton="1" quotePrefix="0" xfId="0"/>
    <xf numFmtId="0" fontId="9" fillId="0" borderId="0" pivotButton="0" quotePrefix="0" xfId="0"/>
    <xf numFmtId="0" fontId="16" fillId="0" borderId="0" pivotButton="0" quotePrefix="0" xfId="0"/>
    <xf numFmtId="0" fontId="5" fillId="0" borderId="0" pivotButton="1" quotePrefix="0" xfId="0"/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/>
    </xf>
    <xf numFmtId="0" fontId="11" fillId="9" borderId="0" applyAlignment="1" pivotButton="0" quotePrefix="0" xfId="0">
      <alignment horizontal="center"/>
    </xf>
    <xf numFmtId="0" fontId="10" fillId="0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/>
    </xf>
    <xf numFmtId="0" fontId="15" fillId="9" borderId="0" applyAlignment="1" pivotButton="0" quotePrefix="0" xfId="0">
      <alignment horizontal="center"/>
    </xf>
    <xf numFmtId="0" fontId="5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</cellXfs>
  <cellStyles count="3">
    <cellStyle name="Normal" xfId="0" builtinId="0"/>
    <cellStyle name="Percent" xfId="1" builtinId="5"/>
    <cellStyle name="Normal 2" xfId="2"/>
  </cellStyles>
  <dxfs count="200"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2"/>
      </font>
    </dxf>
    <dxf>
      <font>
        <color theme="4" tint="0.7999816888943144"/>
      </font>
    </dxf>
    <dxf>
      <font>
        <color theme="4" tint="0.7999816888943144"/>
      </font>
    </dxf>
    <dxf>
      <font>
        <color theme="4" tint="0.7999816888943144"/>
      </font>
    </dxf>
    <dxf>
      <alignment vertical="center"/>
    </dxf>
    <dxf>
      <alignment vertical="center"/>
    </dxf>
    <dxf>
      <font>
        <color auto="1"/>
      </font>
    </dxf>
    <dxf>
      <font>
        <color theme="4" tint="0.7999816888943144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family val="2"/>
        <color theme="4" tint="0.7999816888943144"/>
        <sz val="2"/>
      </font>
    </dxf>
    <dxf>
      <font>
        <sz val="2"/>
      </font>
    </dxf>
    <dxf>
      <font>
        <sz val="2"/>
      </font>
    </dxf>
    <dxf>
      <font>
        <color theme="4" tint="0.7999816888943144"/>
      </font>
    </dxf>
    <dxf>
      <font>
        <color theme="4" tint="0.7999816888943144"/>
      </font>
    </dxf>
    <dxf>
      <font>
        <sz val="2"/>
      </font>
    </dxf>
    <dxf>
      <font>
        <sz val="2"/>
      </font>
    </dxf>
    <dxf>
      <font>
        <color theme="4" tint="0.7999816888943144"/>
      </font>
    </dxf>
    <dxf>
      <font>
        <color theme="4" tint="0.7999816888943144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center"/>
    </dxf>
    <dxf>
      <font>
        <family val="2"/>
        <sz val="8"/>
      </font>
    </dxf>
    <dxf>
      <font>
        <family val="2"/>
        <sz val="8"/>
      </font>
    </dxf>
    <dxf>
      <alignment horizontal="center"/>
    </dxf>
    <dxf>
      <font>
        <color theme="0"/>
      </font>
    </dxf>
    <dxf>
      <font>
        <b val="1"/>
        <color theme="0"/>
      </font>
      <fill>
        <patternFill>
          <bgColor rgb="FFFF0000"/>
        </patternFill>
      </fill>
    </dxf>
    <dxf>
      <font>
        <color theme="0"/>
      </font>
    </dxf>
    <dxf>
      <font>
        <b val="1"/>
        <color theme="0"/>
      </font>
      <fill>
        <patternFill>
          <bgColor rgb="FFFF0000"/>
        </patternFill>
      </fill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/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164" formatCode="[$-3409]dd\-mmm\-yy;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165" formatCode="##.00;\-##.00;0.00"/>
      <fill>
        <patternFill>
          <fgColor indexed="64"/>
          <bgColor indexed="65"/>
        </patternFill>
      </fill>
      <alignment horizontal="righ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righ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righ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164" formatCode="[$-3409]dd\-mmm\-yy;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164" formatCode="[$-3409]dd\-mmm\-yy;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164" formatCode="[$-3409]dd\-mmm\-yy;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164" formatCode="[$-3409]dd\-mmm\-yy;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164" formatCode="[$-3409]dd\-mmm\-yy;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center"/>
      <border>
        <left/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border outline="0">
        <top style="thin">
          <color rgb="FFEBEBEB"/>
        </top>
      </border>
    </dxf>
    <dxf>
      <border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</dxf>
    <dxf>
      <border outline="0">
        <bottom style="thin">
          <color rgb="FFEBEBEB"/>
        </bottom>
      </border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9"/>
        <vertAlign val="baseline"/>
      </font>
      <numFmt numFmtId="30" formatCode="@"/>
      <fill>
        <patternFill patternType="solid">
          <fgColor rgb="FFFFFFFF"/>
          <bgColor theme="3" tint="0.249977111117893"/>
        </patternFill>
      </fill>
      <alignment horizontal="left"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color theme="4" tint="0.7999816888943144"/>
      </font>
    </dxf>
    <dxf>
      <font>
        <color auto="1"/>
      </font>
    </dxf>
    <dxf>
      <alignment vertical="center"/>
    </dxf>
    <dxf>
      <alignment vertical="center"/>
    </dxf>
    <dxf>
      <font>
        <color theme="4" tint="0.7999816888943144"/>
      </font>
    </dxf>
    <dxf>
      <font>
        <color theme="4" tint="0.7999816888943144"/>
      </font>
    </dxf>
    <dxf>
      <font>
        <color theme="4" tint="0.7999816888943144"/>
      </font>
    </dxf>
    <dxf>
      <font>
        <sz val="2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/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164" formatCode="[$-3409]dd\-mmm\-yy;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165" formatCode="##.00;\-##.00;0.00"/>
      <fill>
        <patternFill>
          <fgColor indexed="64"/>
          <bgColor indexed="65"/>
        </patternFill>
      </fill>
      <alignment horizontal="righ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righ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righ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164" formatCode="[$-3409]dd\-mmm\-yy;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164" formatCode="[$-3409]dd\-mmm\-yy;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164" formatCode="[$-3409]dd\-mmm\-yy;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164" formatCode="[$-3409]dd\-mmm\-yy;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164" formatCode="[$-3409]dd\-mmm\-yy;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center"/>
      <border>
        <left/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border outline="0">
        <top style="thin">
          <color rgb="FFEBEBEB"/>
        </top>
      </border>
    </dxf>
    <dxf>
      <border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rgb="FF000000"/>
          <bgColor rgb="FFFFFFFF"/>
        </patternFill>
      </fill>
      <alignment horizontal="left" vertical="bottom"/>
    </dxf>
    <dxf>
      <border outline="0">
        <bottom style="thin">
          <color rgb="FFEBEBEB"/>
        </bottom>
      </border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9"/>
        <vertAlign val="baseline"/>
      </font>
      <numFmt numFmtId="30" formatCode="@"/>
      <fill>
        <patternFill patternType="solid">
          <fgColor rgb="FFFFFFFF"/>
          <bgColor theme="8" tint="-0.249977111117893"/>
        </patternFill>
      </fill>
      <alignment horizontal="left" vertical="center"/>
    </dxf>
    <dxf>
      <alignment horizontal="center"/>
    </dxf>
    <dxf>
      <font>
        <family val="2"/>
        <sz val="8"/>
      </font>
    </dxf>
    <dxf>
      <font>
        <family val="2"/>
        <sz val="8"/>
      </font>
    </dxf>
    <dxf>
      <alignment horizontal="center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color theme="4" tint="0.7999816888943144"/>
      </font>
    </dxf>
    <dxf>
      <font>
        <color theme="4" tint="0.7999816888943144"/>
      </font>
    </dxf>
    <dxf>
      <font>
        <sz val="2"/>
      </font>
    </dxf>
    <dxf>
      <font>
        <sz val="2"/>
      </font>
    </dxf>
    <dxf>
      <font>
        <color theme="4" tint="0.7999816888943144"/>
      </font>
    </dxf>
    <dxf>
      <font>
        <color theme="4" tint="0.7999816888943144"/>
      </font>
    </dxf>
    <dxf>
      <font>
        <sz val="2"/>
      </font>
    </dxf>
    <dxf>
      <font>
        <sz val="2"/>
      </font>
    </dxf>
    <dxf>
      <font>
        <family val="2"/>
        <color theme="4" tint="0.7999816888943144"/>
        <sz val="2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DIFOT MENSUAL</a:t>
            </a:r>
            <a:r>
              <a:rPr lang="es-419" baseline="0"/>
              <a:t xml:space="preserve"> - CONTRATO</a:t>
            </a:r>
            <a:endParaRPr lang="es-419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s-419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22534752491797"/>
          <y val="0.205143945209438"/>
          <w val="0.83297759924814"/>
          <h val="0.540467998745732"/>
        </manualLayout>
      </layout>
      <lineChart>
        <grouping val="standard"/>
        <varyColors val="0"/>
        <ser>
          <idx val="0"/>
          <order val="0"/>
          <tx>
            <strRef>
              <f>'Resumen - Contrato'!$B$19</f>
              <strCache>
                <ptCount val="1"/>
                <pt idx="0">
                  <v>META</v>
                </pt>
              </strCache>
            </strRef>
          </tx>
          <spPr>
            <a:ln w="12700" cap="rnd" cmpd="sng" algn="ctr">
              <a:solidFill>
                <a:srgbClr val="00B050"/>
              </a:solidFill>
              <a:prstDash val="sysDash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'Resumen - Contrato'!$D$18:$K$18</f>
              <strCache>
                <ptCount val="8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</strCache>
            </strRef>
          </cat>
          <val>
            <numRef>
              <f>'Resumen - Contrato'!$D$19:$K$19</f>
              <numCache>
                <formatCode>0%</formatCode>
                <ptCount val="8"/>
                <pt idx="0">
                  <v>0.9399999999999999</v>
                </pt>
                <pt idx="1">
                  <v>0.9399999999999999</v>
                </pt>
                <pt idx="2">
                  <v>0.9399999999999999</v>
                </pt>
                <pt idx="3">
                  <v>0.9399999999999999</v>
                </pt>
                <pt idx="4">
                  <v>0.9399999999999999</v>
                </pt>
                <pt idx="5">
                  <v>0.9399999999999999</v>
                </pt>
                <pt idx="6">
                  <v>0.9399999999999999</v>
                </pt>
                <pt idx="7">
                  <v>0.9399999999999999</v>
                </pt>
              </numCache>
            </numRef>
          </val>
          <smooth val="0"/>
        </ser>
        <ser>
          <idx val="1"/>
          <order val="1"/>
          <tx>
            <strRef>
              <f>'Resumen - Contrato'!$B$20</f>
              <strCache>
                <ptCount val="1"/>
                <pt idx="0">
                  <v>OK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  <a:headEnd w="med" len="med"/>
              <a:tailEnd type="arrow" w="med" len="med"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'Resumen - Contrato'!$D$18:$K$18</f>
              <strCache>
                <ptCount val="8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</strCache>
            </strRef>
          </cat>
          <val>
            <numRef>
              <f>'Resumen - Contrato'!$D$20:$K$20</f>
              <numCache>
                <formatCode>0%</formatCode>
                <ptCount val="8"/>
                <pt idx="0">
                  <v>0.8796296296296297</v>
                </pt>
                <pt idx="1">
                  <v>0.9487179487179487</v>
                </pt>
                <pt idx="2">
                  <v>0.9565217391304348</v>
                </pt>
                <pt idx="3">
                  <v>0.9126984126984127</v>
                </pt>
                <pt idx="4">
                  <v>0.9591836734693877</v>
                </pt>
                <pt idx="5">
                  <v>0.97</v>
                </pt>
                <pt idx="6">
                  <v>0.958904109589041</v>
                </pt>
                <pt idx="7">
                  <v>0.8048780487804879</v>
                </pt>
              </numCache>
            </numRef>
          </val>
          <smooth val="0"/>
        </ser>
        <ser>
          <idx val="2"/>
          <order val="2"/>
          <tx>
            <strRef>
              <f>'Resumen - Contrato'!$B$23</f>
              <strCache>
                <ptCount val="1"/>
                <pt idx="0">
                  <v>OPORTUNIDAD</v>
                </pt>
              </strCache>
            </strRef>
          </tx>
          <spPr>
            <a:ln w="9525" cap="rnd" cmpd="sng" algn="ctr">
              <a:solidFill>
                <a:schemeClr val="bg2">
                  <a:lumMod val="75000"/>
                </a:schemeClr>
              </a:solidFill>
              <a:prstDash val="sysDash"/>
              <a:round/>
              <a:headEnd w="med" len="med"/>
              <a:tailEnd type="arrow" w="med" len="me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'Resumen - Contrato'!$D$18:$K$18</f>
              <strCache>
                <ptCount val="8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</strCache>
            </strRef>
          </cat>
          <val>
            <numRef>
              <f>'Resumen - Contrato'!$D$23:$K$23</f>
              <numCache>
                <formatCode>0%</formatCode>
                <ptCount val="8"/>
                <pt idx="0">
                  <v>0.8796296296296297</v>
                </pt>
                <pt idx="1">
                  <v>0.9487179487179487</v>
                </pt>
                <pt idx="2">
                  <v>0.9565217391304348</v>
                </pt>
                <pt idx="3">
                  <v>0.9126984126984127</v>
                </pt>
                <pt idx="4">
                  <v>0.9591836734693877</v>
                </pt>
                <pt idx="5">
                  <v>0.97</v>
                </pt>
                <pt idx="6">
                  <v>0.958904109589041</v>
                </pt>
                <pt idx="7">
                  <v>0.967479674796748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dropLines>
          <spPr>
            <a:ln w="9525" cap="flat" cmpd="sng" algn="ctr">
              <a:solidFill>
                <a:schemeClr val="dk1">
                  <a:alpha val="33000"/>
                  <a:lumMod val="35000"/>
                  <a:lumOff val="65000"/>
                </a:schemeClr>
              </a:solidFill>
              <a:prstDash val="solid"/>
              <a:round/>
            </a:ln>
          </spPr>
        </dropLines>
        <smooth val="0"/>
        <axId val="1650244751"/>
        <axId val="1650239951"/>
      </lineChart>
      <catAx>
        <axId val="165024475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50239951"/>
        <crosses val="autoZero"/>
        <auto val="1"/>
        <lblAlgn val="ctr"/>
        <lblOffset val="100"/>
        <noMultiLvlLbl val="0"/>
      </catAx>
      <valAx>
        <axId val="1650239951"/>
        <scaling>
          <orientation val="minMax"/>
          <max val="1"/>
        </scaling>
        <delete val="0"/>
        <axPos val="l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5024475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zero"/>
  </chart>
  <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DIFOT - CONTRATO/FUERA DE CONTRATO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'Resumen - Todo'!$B$19</f>
              <strCache>
                <ptCount val="1"/>
                <pt idx="0">
                  <v>META</v>
                </pt>
              </strCache>
            </strRef>
          </tx>
          <spPr>
            <a:ln w="12700" cap="rnd" cmpd="sng" algn="ctr">
              <a:solidFill>
                <a:srgbClr val="00B050"/>
              </a:solidFill>
              <a:prstDash val="sys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cat>
            <strRef>
              <f>'Resumen - Todo'!$D$18:$N$18</f>
              <strCache>
                <ptCount val="11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</strCache>
            </strRef>
          </cat>
          <val>
            <numRef>
              <f>'Resumen - Todo'!$D$19:$N$19</f>
              <numCache>
                <formatCode>0%</formatCode>
                <ptCount val="11"/>
                <pt idx="0">
                  <v>0.9399999999999999</v>
                </pt>
                <pt idx="1">
                  <v>0.9399999999999999</v>
                </pt>
                <pt idx="2">
                  <v>0.9399999999999999</v>
                </pt>
                <pt idx="3">
                  <v>0.9399999999999999</v>
                </pt>
                <pt idx="4">
                  <v>0.9399999999999999</v>
                </pt>
                <pt idx="5">
                  <v>0.9399999999999999</v>
                </pt>
                <pt idx="6">
                  <v>0.9399999999999999</v>
                </pt>
                <pt idx="7">
                  <v>0.9399999999999999</v>
                </pt>
                <pt idx="8">
                  <v>0.9399999999999999</v>
                </pt>
                <pt idx="9">
                  <v>0.9399999999999999</v>
                </pt>
                <pt idx="10">
                  <v>0.9399999999999999</v>
                </pt>
              </numCache>
            </numRef>
          </val>
          <smooth val="0"/>
        </ser>
        <ser>
          <idx val="1"/>
          <order val="1"/>
          <tx>
            <strRef>
              <f>'Resumen - Todo'!$B$20</f>
              <strCache>
                <ptCount val="1"/>
                <pt idx="0">
                  <v>OK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  <a:headEnd w="med" len="med"/>
              <a:tailEnd type="arrow" w="med" len="med"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'Resumen - Todo'!$D$18:$N$18</f>
              <strCache>
                <ptCount val="11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</strCache>
            </strRef>
          </cat>
          <val>
            <numRef>
              <f>'Resumen - Todo'!$D$20:$N$20</f>
              <numCache>
                <formatCode>0%</formatCode>
                <ptCount val="11"/>
                <pt idx="0">
                  <v>0.8842975206611571</v>
                </pt>
                <pt idx="1">
                  <v>0.9069767441860465</v>
                </pt>
                <pt idx="2">
                  <v>0.9504950495049505</v>
                </pt>
                <pt idx="3">
                  <v>0.9214285714285714</v>
                </pt>
                <pt idx="4">
                  <v>0.9627329192546584</v>
                </pt>
                <pt idx="5">
                  <v>0.9722222222222222</v>
                </pt>
                <pt idx="6">
                  <v>0.9655172413793104</v>
                </pt>
                <pt idx="7">
                  <v>0.8014705882352942</v>
                </pt>
                <pt idx="8">
                  <v>0.1728395061728395</v>
                </pt>
                <pt idx="9">
                  <v>0.025</v>
                </pt>
                <pt idx="10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'Resumen - Todo'!$B$23</f>
              <strCache>
                <ptCount val="1"/>
                <pt idx="0">
                  <v>OPORTUNIDAD</v>
                </pt>
              </strCache>
            </strRef>
          </tx>
          <spPr>
            <a:ln w="12700" cap="rnd" cmpd="sng" algn="ctr">
              <a:solidFill>
                <a:schemeClr val="bg2">
                  <a:lumMod val="75000"/>
                </a:schemeClr>
              </a:solidFill>
              <a:prstDash val="sysDash"/>
              <a:round/>
              <a:headEnd w="med" len="med"/>
              <a:tailEnd type="arrow" w="med" len="med"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cat>
            <strRef>
              <f>'Resumen - Todo'!$D$18:$N$18</f>
              <strCache>
                <ptCount val="11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</strCache>
            </strRef>
          </cat>
          <val>
            <numRef>
              <f>'Resumen - Todo'!$D$23:$N$23</f>
              <numCache>
                <formatCode>0%</formatCode>
                <ptCount val="11"/>
                <pt idx="0">
                  <v>0.8842975206611571</v>
                </pt>
                <pt idx="1">
                  <v>0.9069767441860465</v>
                </pt>
                <pt idx="2">
                  <v>0.9504950495049505</v>
                </pt>
                <pt idx="3">
                  <v>0.9214285714285714</v>
                </pt>
                <pt idx="4">
                  <v>0.9627329192546584</v>
                </pt>
                <pt idx="5">
                  <v>0.9722222222222222</v>
                </pt>
                <pt idx="6">
                  <v>0.9655172413793104</v>
                </pt>
                <pt idx="7">
                  <v>0.9558823529411765</v>
                </pt>
                <pt idx="8">
                  <v>1</v>
                </pt>
                <pt idx="9">
                  <v>1</v>
                </pt>
                <pt idx="10">
                  <v>1</v>
                </pt>
              </numCache>
            </numRef>
          </val>
          <smooth val="0"/>
        </ser>
        <dLbls>
          <dLblPos val="b"/>
          <showLegendKey val="0"/>
          <showVal val="1"/>
          <showCatName val="0"/>
          <showSerName val="0"/>
          <showPercent val="0"/>
          <showBubbleSize val="0"/>
        </dLbls>
        <dropLines>
          <spPr>
            <a:ln w="9525" cap="flat" cmpd="sng" algn="ctr">
              <a:solidFill>
                <a:schemeClr val="dk1">
                  <a:alpha val="33000"/>
                  <a:lumMod val="35000"/>
                  <a:lumOff val="65000"/>
                </a:schemeClr>
              </a:solidFill>
              <a:prstDash val="solid"/>
              <a:round/>
            </a:ln>
          </spPr>
        </dropLines>
        <smooth val="0"/>
        <axId val="1650232751"/>
        <axId val="1650231311"/>
      </lineChart>
      <catAx>
        <axId val="165023275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50231311"/>
        <crosses val="autoZero"/>
        <auto val="1"/>
        <lblAlgn val="ctr"/>
        <lblOffset val="100"/>
        <noMultiLvlLbl val="0"/>
      </catAx>
      <valAx>
        <axId val="1650231311"/>
        <scaling>
          <orientation val="minMax"/>
          <max val="1"/>
        </scaling>
        <delete val="0"/>
        <axPos val="l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5023275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17</col>
      <colOff>75153</colOff>
      <row>12</row>
      <rowOff>59189</rowOff>
    </from>
    <to>
      <col>22</col>
      <colOff>89123</colOff>
      <row>26</row>
      <rowOff>98752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18</col>
      <colOff>174625</colOff>
      <row>1</row>
      <rowOff>69850</rowOff>
    </from>
    <to>
      <col>22</col>
      <colOff>596900</colOff>
      <row>23</row>
      <rowOff>25400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Maricel Tolosa" refreshedDate="46252.05947083333" createdVersion="8" refreshedVersion="8" minRefreshableVersion="3" recordCount="1149" r:id="rId1">
  <cacheSource type="worksheet">
    <worksheetSource name="Table1"/>
  </cacheSource>
  <cacheFields count="33">
    <cacheField name="Region" uniqueList="1" numFmtId="49" sqlType="0" hierarchy="0" level="0" databaseField="1">
      <sharedItems count="0"/>
    </cacheField>
    <cacheField name="Asset" uniqueList="1" numFmtId="49" sqlType="0" hierarchy="0" level="0" databaseField="1">
      <sharedItems count="3">
        <s v="Escondida"/>
        <s v="Pampa Norte"/>
        <s v="Minerals Americas - Exploration &amp; Head Office" u="1"/>
      </sharedItems>
    </cacheField>
    <cacheField name="Purch. Org. - Text" uniqueList="1" numFmtId="49" sqlType="0" hierarchy="0" level="0" databaseField="1">
      <sharedItems count="0"/>
    </cacheField>
    <cacheField name="Vendor(VN) - Key" uniqueList="1" numFmtId="49" sqlType="0" hierarchy="0" level="0" databaseField="1">
      <sharedItems count="0"/>
    </cacheField>
    <cacheField name="Vendor(VN) - Text" uniqueList="1" numFmtId="49" sqlType="0" hierarchy="0" level="0" databaseField="1">
      <sharedItems count="0"/>
    </cacheField>
    <cacheField name="IncoTerms - Key" uniqueList="1" numFmtId="49" sqlType="0" hierarchy="0" level="0" databaseField="1">
      <sharedItems count="0"/>
    </cacheField>
    <cacheField name="Inco term: Additional Information - Text" uniqueList="1" numFmtId="49" sqlType="0" hierarchy="0" level="0" databaseField="1">
      <sharedItems count="0"/>
    </cacheField>
    <cacheField name="Purchase Document Item No. - Key" uniqueList="1" numFmtId="49" sqlType="0" hierarchy="0" level="0" databaseField="1">
      <sharedItems count="0"/>
    </cacheField>
    <cacheField name="Purch. Group - Key" uniqueList="1" numFmtId="49" sqlType="0" hierarchy="0" level="0" databaseField="1">
      <sharedItems count="0"/>
    </cacheField>
    <cacheField name="Contract (Outline Agreement) No - Key" uniqueList="1" numFmtId="49" sqlType="0" hierarchy="0" level="0" databaseField="1">
      <sharedItems count="18">
        <s v="5900067501"/>
        <s v="#"/>
        <s v="5900003660"/>
        <s v="5900046208"/>
        <s v="5900050901"/>
        <s v="5900019010"/>
        <s v="5900046210"/>
        <s v="5900050903"/>
        <s v="5900061816" u="1"/>
        <s v="5900046311" u="1"/>
        <s v="5900050602" u="1"/>
        <s v="5900046310" u="1"/>
        <s v="5900050404" u="1"/>
        <s v="5900034403" u="1"/>
        <s v="5900077906" u="1"/>
        <s v="5900094303" u="1"/>
        <s v="5900077907" u="1"/>
        <s v="5900045411" u="1"/>
      </sharedItems>
    </cacheField>
    <cacheField name="Material - Key" uniqueList="1" numFmtId="49" sqlType="0" hierarchy="0" level="0" databaseField="1">
      <sharedItems count="0"/>
    </cacheField>
    <cacheField name="Material - Text" uniqueList="1" numFmtId="49" sqlType="0" hierarchy="0" level="0" databaseField="1">
      <sharedItems count="0"/>
    </cacheField>
    <cacheField name="Purchase Document Number - Key" uniqueList="1" numFmtId="49" sqlType="0" hierarchy="0" level="0" databaseField="1">
      <sharedItems count="0"/>
    </cacheField>
    <cacheField name="PO Item Quantity Order UOM" uniqueList="1" numFmtId="49" sqlType="0" hierarchy="0" level="0" databaseField="1">
      <sharedItems count="0" containsInteger="1" containsNumber="1" containsSemiMixedTypes="0" containsString="0" minValue="0" maxValue="14967"/>
    </cacheField>
    <cacheField name="Purch. Item Category - Text" uniqueList="1" numFmtId="49" sqlType="0" hierarchy="0" level="0" databaseField="1">
      <sharedItems count="0"/>
    </cacheField>
    <cacheField name="Indicator : Delivery Completion - Key" uniqueList="1" numFmtId="49" sqlType="0" hierarchy="0" level="0" databaseField="1">
      <sharedItems count="0"/>
    </cacheField>
    <cacheField name="PO Document Date - Key" uniqueList="1" numFmtId="164" sqlType="0" hierarchy="0" level="0" databaseField="1">
      <sharedItems count="0" containsDate="1" containsNonDate="0" containsSemiMixedTypes="0" containsString="0" minDate="2025-07-24T00:00:00" maxDate="2026-08-18T00:00:00"/>
    </cacheField>
    <cacheField name="Date : Calculated Delivery - Key" uniqueList="1" numFmtId="164" sqlType="0" hierarchy="0" level="0" databaseField="1">
      <sharedItems count="935" containsDate="1" containsNonDate="0" containsSemiMixedTypes="0" containsString="0" minDate="2024-05-01T00:00:00" maxDate="2027-01-01T00:00:00">
        <d v="2026-07-13T00:00:00"/>
        <d v="2026-09-16T00:00:00"/>
        <d v="2026-06-30T00:00:00"/>
        <d v="2026-09-24T00:00:00"/>
        <d v="2026-03-04T00:00:00"/>
        <d v="2026-04-30T00:00:00"/>
        <d v="2026-07-09T00:00:00"/>
        <d v="2026-08-04T00:00:00"/>
        <d v="2026-07-06T00:00:00"/>
        <d v="2026-08-11T00:00:00"/>
        <d v="2026-09-17T00:00:00"/>
        <d v="2026-01-27T00:00:00"/>
        <d v="2026-05-24T00:00:00"/>
        <d v="2026-08-16T00:00:00"/>
        <d v="2026-08-27T00:00:00"/>
        <d v="2026-01-17T00:00:00"/>
        <d v="2026-02-24T00:00:00"/>
        <d v="2026-06-03T00:00:00"/>
        <d v="2026-07-03T00:00:00"/>
        <d v="2026-07-15T00:00:00"/>
        <d v="2026-09-19T00:00:00"/>
        <d v="2026-10-22T00:00:00"/>
        <d v="2026-07-02T00:00:00"/>
        <d v="2026-07-31T00:00:00"/>
        <d v="2026-05-14T00:00:00"/>
        <d v="2026-01-04T00:00:00"/>
        <d v="2026-01-05T00:00:00"/>
        <d v="2026-02-28T00:00:00"/>
        <d v="2026-03-08T00:00:00"/>
        <d v="2026-03-16T00:00:00"/>
        <d v="2026-08-03T00:00:00"/>
        <d v="2026-10-05T00:00:00"/>
        <d v="2026-01-08T00:00:00"/>
        <d v="2026-01-22T00:00:00"/>
        <d v="2026-05-29T00:00:00"/>
        <d v="2026-06-10T00:00:00"/>
        <d v="2026-02-22T00:00:00"/>
        <d v="2026-07-05T00:00:00"/>
        <d v="2026-08-02T00:00:00"/>
        <d v="2026-06-24T00:00:00"/>
        <d v="2026-08-22T00:00:00"/>
        <d v="2026-09-27T00:00:00"/>
        <d v="2026-01-11T00:00:00"/>
        <d v="2026-01-14T00:00:00"/>
        <d v="2026-01-23T00:00:00"/>
        <d v="2026-03-02T00:00:00"/>
        <d v="2026-04-10T00:00:00"/>
        <d v="2026-04-09T00:00:00"/>
        <d v="2026-05-13T00:00:00"/>
        <d v="2026-03-29T00:00:00"/>
        <d v="2026-08-06T00:00:00"/>
        <d v="2026-08-18T00:00:00"/>
        <d v="2026-09-13T00:00:00"/>
        <d v="2026-09-20T00:00:00"/>
        <d v="2026-09-25T00:00:00"/>
        <d v="2026-10-14T00:00:00"/>
        <d v="2026-10-21T00:00:00"/>
        <d v="2026-01-12T00:00:00"/>
        <d v="2026-02-13T00:00:00"/>
        <d v="2026-04-23T00:00:00"/>
        <d v="2026-07-10T00:00:00"/>
        <d v="2026-08-05T00:00:00"/>
        <d v="2026-05-19T00:00:00"/>
        <d v="2026-05-25T00:00:00"/>
        <d v="2026-06-17T00:00:00"/>
        <d v="2026-05-20T00:00:00"/>
        <d v="2026-08-31T00:00:00"/>
        <d v="2026-08-28T00:00:00"/>
        <d v="2026-06-23T00:00:00"/>
        <d v="2026-04-05T00:00:00"/>
        <d v="2026-06-08T00:00:00"/>
        <d v="2026-10-06T00:00:00"/>
        <d v="2026-02-25T00:00:00"/>
        <d v="2026-03-07T00:00:00"/>
        <d v="2026-06-25T00:00:00"/>
        <d v="2026-08-09T00:00:00"/>
        <d v="2026-01-20T00:00:00"/>
        <d v="2026-02-01T00:00:00"/>
        <d v="2026-03-20T00:00:00"/>
        <d v="2026-04-22T00:00:00"/>
        <d v="2026-04-25T00:00:00"/>
        <d v="2026-04-27T00:00:00"/>
        <d v="2026-08-29T00:00:00"/>
        <d v="2026-06-14T00:00:00"/>
        <d v="2026-01-06T00:00:00"/>
        <d v="2026-02-04T00:00:00"/>
        <d v="2026-03-26T00:00:00"/>
        <d v="2026-02-23T00:00:00"/>
        <d v="2026-02-16T00:00:00"/>
        <d v="2026-03-14T00:00:00"/>
        <d v="2026-07-25T00:00:00"/>
        <d v="2026-07-30T00:00:00"/>
        <d v="2026-03-18T00:00:00"/>
        <d v="2026-07-04T00:00:00"/>
        <d v="2026-07-19T00:00:00"/>
        <d v="2026-01-19T00:00:00"/>
        <d v="2026-02-09T00:00:00"/>
        <d v="2026-03-11T00:00:00"/>
        <d v="2026-01-30T00:00:00"/>
        <d v="2026-02-10T00:00:00"/>
        <d v="2026-03-06T00:00:00"/>
        <d v="2026-03-24T00:00:00"/>
        <d v="2026-04-08T00:00:00"/>
        <d v="2026-04-29T00:00:00"/>
        <d v="2026-08-23T00:00:00"/>
        <d v="2026-08-25T00:00:00"/>
        <d v="2026-03-19T00:00:00"/>
        <d v="2026-04-01T00:00:00"/>
        <d v="2026-04-02T00:00:00"/>
        <d v="2026-06-04T00:00:00"/>
        <d v="2026-07-16T00:00:00"/>
        <d v="2026-01-01T00:00:00"/>
        <d v="2026-01-29T00:00:00"/>
        <d v="2026-04-24T00:00:00"/>
        <d v="2026-05-07T00:00:00"/>
        <d v="2026-05-10T00:00:00"/>
        <d v="2026-07-11T00:00:00"/>
        <d v="2026-07-17T00:00:00"/>
        <d v="2026-08-26T00:00:00"/>
        <d v="2026-09-12T00:00:00"/>
        <d v="2026-02-05T00:00:00"/>
        <d v="2026-02-12T00:00:00"/>
        <d v="2026-03-05T00:00:00"/>
        <d v="2026-03-22T00:00:00"/>
        <d v="2026-04-03T00:00:00"/>
        <d v="2026-05-11T00:00:00"/>
        <d v="2026-06-01T00:00:00"/>
        <d v="2026-08-08T00:00:00"/>
        <d v="2026-08-30T00:00:00"/>
        <d v="2026-08-15T00:00:00"/>
        <d v="2026-02-15T00:00:00"/>
        <d v="2026-05-03T00:00:00"/>
        <d v="2026-07-26T00:00:00"/>
        <d v="2026-08-24T00:00:00"/>
        <d v="2026-09-05T00:00:00"/>
        <d v="2026-06-13T00:00:00"/>
        <d v="2026-07-29T00:00:00"/>
        <d v="2026-09-06T00:00:00"/>
        <d v="2026-02-06T00:00:00"/>
        <d v="2026-05-05T00:00:00"/>
        <d v="2026-08-19T00:00:00"/>
        <d v="2026-05-06T00:00:00"/>
        <d v="2026-08-10T00:00:00"/>
        <d v="2026-02-11T00:00:00"/>
        <d v="2026-04-17T00:00:00"/>
        <d v="2026-06-15T00:00:00"/>
        <d v="2026-02-03T00:00:00"/>
        <d v="2026-06-21T00:00:00"/>
        <d v="2026-09-09T00:00:00"/>
        <d v="2026-09-11T00:00:00"/>
        <d v="2026-09-15T00:00:00"/>
        <d v="2026-01-03T00:00:00"/>
        <d v="2026-04-04T00:00:00"/>
        <d v="2026-04-13T00:00:00"/>
        <d v="2026-06-19T00:00:00"/>
        <d v="2026-01-16T00:00:00"/>
        <d v="2026-05-28T00:00:00"/>
        <d v="2026-06-05T00:00:00"/>
        <d v="2026-02-21T00:00:00"/>
        <d v="2026-07-28T00:00:00"/>
        <d v="2026-03-12T00:00:00"/>
        <d v="2026-02-17T00:00:00"/>
        <d v="2026-01-26T00:00:00"/>
        <d v="2026-04-11T00:00:00"/>
        <d v="2026-07-20T00:00:00"/>
        <d v="2026-03-10T00:00:00"/>
        <d v="2026-09-10T00:00:00"/>
        <d v="2026-09-23T00:00:00"/>
        <d v="2026-11-24T00:00:00"/>
        <d v="2026-01-13T00:00:00"/>
        <d v="2026-06-09T00:00:00"/>
        <d v="2026-06-16T00:00:00"/>
        <d v="2026-09-22T00:00:00"/>
        <d v="2026-03-17T00:00:00"/>
        <d v="2026-04-15T00:00:00"/>
        <d v="2026-05-12T00:00:00"/>
        <d v="2026-06-06T00:00:00"/>
        <d v="2026-07-07T00:00:00"/>
        <d v="2026-09-01T00:00:00"/>
        <d v="2026-09-02T00:00:00"/>
        <d v="2026-03-21T00:00:00"/>
        <d v="2026-10-25T00:00:00"/>
        <d v="2026-04-20T00:00:00"/>
        <d v="2026-05-02T00:00:00"/>
        <d v="2026-06-07T00:00:00"/>
        <d v="2026-06-28T00:00:00"/>
        <d v="2026-05-18T00:00:00"/>
        <d v="2026-01-28T00:00:00"/>
        <d v="2026-08-17T00:00:00"/>
        <d v="2026-04-28T00:00:00"/>
        <d v="2026-01-10T00:00:00"/>
        <d v="2026-02-18T00:00:00"/>
        <d v="2026-10-07T00:00:00"/>
        <d v="2026-05-16T00:00:00"/>
        <d v="2026-02-02T00:00:00"/>
        <d v="2026-01-24T00:00:00"/>
        <d v="2026-08-13T00:00:00"/>
        <d v="2026-03-28T00:00:00"/>
        <d v="2026-04-14T00:00:00"/>
        <d v="2026-05-09T00:00:00"/>
        <d v="2026-06-27T00:00:00"/>
        <d v="2026-01-15T00:00:00"/>
        <d v="2026-02-19T00:00:00"/>
        <d v="2026-02-26T00:00:00"/>
        <d v="2026-03-23T00:00:00"/>
        <d v="2026-03-27T00:00:00"/>
        <d v="2026-04-06T00:00:00"/>
        <d v="2026-04-12T00:00:00"/>
        <d v="2026-05-23T00:00:00"/>
        <d v="2026-06-20T00:00:00"/>
        <d v="2026-08-07T00:00:00"/>
        <d v="2026-08-14T00:00:00"/>
        <d v="2026-08-20T00:00:00"/>
        <d v="2026-09-14T00:00:00"/>
        <d v="2026-10-12T00:00:00"/>
        <d v="2026-10-15T00:00:00"/>
        <d v="2026-10-16T00:00:00"/>
        <d v="2026-10-23T00:00:00"/>
        <d v="2026-11-05T00:00:00"/>
        <d v="2026-11-08T00:00:00"/>
        <d v="2026-11-19T00:00:00"/>
        <d v="2026-11-26T00:00:00"/>
        <d v="2026-11-28T00:00:00"/>
        <d v="2026-12-17T00:00:00"/>
        <d v="2026-12-20T00:00:00"/>
        <d v="2026-04-18T00:00:00"/>
        <d v="2026-05-01T00:00:00"/>
        <d v="2026-04-07T00:00:00"/>
        <d v="2026-05-26T00:00:00"/>
        <d v="2026-05-27T00:00:00"/>
        <d v="2026-08-12T00:00:00"/>
        <d v="2026-09-07T00:00:00"/>
        <d v="2026-02-20T00:00:00"/>
        <d v="2026-02-27T00:00:00"/>
        <d v="2026-05-21T00:00:00"/>
        <d v="2026-09-04T00:00:00"/>
        <d v="2026-01-21T00:00:00"/>
        <d v="2026-07-12T00:00:00"/>
        <d v="2026-03-15T00:00:00"/>
        <d v="2026-07-08T00:00:00"/>
        <d v="2026-09-08T00:00:00"/>
        <d v="2026-03-30T00:00:00"/>
        <d v="2026-05-31T00:00:00"/>
        <d v="2026-04-16T00:00:00"/>
        <d v="2026-09-30T00:00:00"/>
        <d v="2026-04-21T00:00:00"/>
        <d v="2026-03-01T00:00:00"/>
        <d v="2026-01-25T00:00:00"/>
        <d v="2026-02-07T00:00:00"/>
        <d v="2026-02-14T00:00:00"/>
        <d v="2026-12-25T00:00:00"/>
        <d v="2026-07-18T00:00:00"/>
        <d v="2026-06-11T00:00:00"/>
        <d v="2026-10-18T00:00:00"/>
        <d v="2026-11-03T00:00:00"/>
        <d v="2026-10-02T00:00:00"/>
        <d v="2026-10-03T00:00:00"/>
        <d v="2026-05-15T00:00:00"/>
        <d v="2026-10-29T00:00:00"/>
        <d v="2026-07-22T00:00:00"/>
        <d v="2026-11-07T00:00:00"/>
        <d v="2026-11-09T00:00:00"/>
        <d v="2026-10-01T00:00:00"/>
        <d v="2026-03-09T00:00:00"/>
        <d v="2026-11-11T00:00:00"/>
        <d v="2026-05-08T00:00:00"/>
        <d v="2026-11-12T00:00:00"/>
        <d v="2026-12-10T00:00:00"/>
        <d v="2026-03-25T00:00:00"/>
        <d v="2026-03-03T00:00:00"/>
        <d v="2026-07-21T00:00:00"/>
        <d v="2026-01-07T00:00:00"/>
        <d v="2026-07-23T00:00:00"/>
        <d v="2026-07-27T00:00:00"/>
        <d v="2026-06-29T00:00:00"/>
        <d v="2026-05-04T00:00:00"/>
        <d v="2026-01-18T00:00:00"/>
        <d v="2026-03-13T00:00:00"/>
        <d v="2026-03-31T00:00:00"/>
        <d v="2026-05-17T00:00:00"/>
        <d v="2026-05-22T00:00:00"/>
        <d v="2026-07-01T00:00:00"/>
        <d v="2026-04-26T00:00:00"/>
        <d v="2026-11-15T00:00:00"/>
        <d v="2026-10-10T00:00:00"/>
        <d v="2026-10-30T00:00:00"/>
        <d v="2026-12-01T00:00:00"/>
        <d v="2026-09-03T00:00:00"/>
        <d v="2026-10-31T00:00:00"/>
        <d v="2026-11-02T00:00:00"/>
        <d v="2026-10-11T00:00:00"/>
        <d v="2026-09-29T00:00:00"/>
        <d v="2026-11-10T00:00:00"/>
        <d v="2026-09-18T00:00:00" u="1"/>
        <d v="2026-05-30T00:00:00" u="1"/>
        <d v="2026-01-31T00:00:00" u="1"/>
        <d v="2026-09-28T00:00:00" u="1"/>
        <d v="2026-06-22T00:00:00" u="1"/>
        <d v="2026-02-08T00:00:00" u="1"/>
        <d v="2026-07-24T00:00:00" u="1"/>
        <d v="2026-06-02T00:00:00" u="1"/>
        <d v="2026-01-09T00:00:00" u="1"/>
        <d v="2026-06-26T00:00:00" u="1"/>
        <d v="2026-12-31T00:00:00" u="1"/>
        <d v="2026-06-18T00:00:00" u="1"/>
        <d v="2026-08-01T00:00:00" u="1"/>
        <d v="2026-11-22T00:00:00" u="1"/>
        <d v="2026-07-14T00:00:00" u="1"/>
        <d v="2026-10-04T00:00:00" u="1"/>
        <d v="2026-08-21T00:00:00" u="1"/>
        <d v="2026-10-08T00:00:00" u="1"/>
        <d v="2026-10-13T00:00:00" u="1"/>
        <d v="2026-10-17T00:00:00" u="1"/>
        <d v="2026-10-28T00:00:00" u="1"/>
        <d v="2026-01-02T00:00:00" u="1"/>
        <d v="2026-09-21T00:00:00" u="1"/>
        <d v="2026-11-16T00:00:00" u="1"/>
        <d v="2026-06-12T00:00:00" u="1"/>
        <d v="2026-11-13T00:00:00" u="1"/>
        <d v="2026-10-24T00:00:00" u="1"/>
        <d v="2026-12-06T00:00:00" u="1"/>
        <d v="2026-04-19T00:00:00" u="1"/>
        <d v="2026-09-26T00:00:00" u="1"/>
        <d v="2026-11-04T00:00:00" u="1"/>
        <d v="2026-10-09T00:00:00" u="1"/>
        <d v="2025-07-28T00:00:00" u="1"/>
        <d v="2025-08-15T00:00:00" u="1"/>
        <d v="2025-07-18T00:00:00" u="1"/>
        <d v="2025-07-26T00:00:00" u="1"/>
        <d v="2025-08-05T00:00:00" u="1"/>
        <d v="2025-08-12T00:00:00" u="1"/>
        <d v="2025-09-05T00:00:00" u="1"/>
        <d v="2025-09-11T00:00:00" u="1"/>
        <d v="2025-09-16T00:00:00" u="1"/>
        <d v="2025-09-21T00:00:00" u="1"/>
        <d v="2025-09-22T00:00:00" u="1"/>
        <d v="2025-09-23T00:00:00" u="1"/>
        <d v="2025-07-04T00:00:00" u="1"/>
        <d v="2025-09-20T00:00:00" u="1"/>
        <d v="2025-10-01T00:00:00" u="1"/>
        <d v="2025-12-04T00:00:00" u="1"/>
        <d v="2025-12-23T00:00:00" u="1"/>
        <d v="2025-12-24T00:00:00" u="1"/>
        <d v="2025-08-25T00:00:00" u="1"/>
        <d v="2025-10-14T00:00:00" u="1"/>
        <d v="2025-12-19T00:00:00" u="1"/>
        <d v="2025-12-12T00:00:00" u="1"/>
        <d v="2025-12-30T00:00:00" u="1"/>
        <d v="2025-07-14T00:00:00" u="1"/>
        <d v="2025-08-09T00:00:00" u="1"/>
        <d v="2025-08-19T00:00:00" u="1"/>
        <d v="2025-11-25T00:00:00" u="1"/>
        <d v="2025-11-10T00:00:00" u="1"/>
        <d v="2025-12-10T00:00:00" u="1"/>
        <d v="2025-10-29T00:00:00" u="1"/>
        <d v="2025-07-07T00:00:00" u="1"/>
        <d v="2025-12-25T00:00:00" u="1"/>
        <d v="2025-09-29T00:00:00" u="1"/>
        <d v="2025-10-25T00:00:00" u="1"/>
        <d v="2025-11-29T00:00:00" u="1"/>
        <d v="2025-12-13T00:00:00" u="1"/>
        <d v="2025-07-12T00:00:00" u="1"/>
        <d v="2025-11-03T00:00:00" u="1"/>
        <d v="2025-07-21T00:00:00" u="1"/>
        <d v="2025-10-19T00:00:00" u="1"/>
        <d v="2025-08-11T00:00:00" u="1"/>
        <d v="2025-09-09T00:00:00" u="1"/>
        <d v="2025-09-18T00:00:00" u="1"/>
        <d v="2025-10-05T00:00:00" u="1"/>
        <d v="2025-10-30T00:00:00" u="1"/>
        <d v="2025-08-06T00:00:00" u="1"/>
        <d v="2025-10-07T00:00:00" u="1"/>
        <d v="2025-07-29T00:00:00" u="1"/>
        <d v="2025-07-02T00:00:00" u="1"/>
        <d v="2025-07-05T00:00:00" u="1"/>
        <d v="2025-09-02T00:00:00" u="1"/>
        <d v="2025-09-04T00:00:00" u="1"/>
        <d v="2025-09-30T00:00:00" u="1"/>
        <d v="2025-07-19T00:00:00" u="1"/>
        <d v="2025-07-08T00:00:00" u="1"/>
        <d v="2025-09-15T00:00:00" u="1"/>
        <d v="2025-10-12T00:00:00" u="1"/>
        <d v="2025-12-09T00:00:00" u="1"/>
        <d v="2025-07-31T00:00:00" u="1"/>
        <d v="2025-08-07T00:00:00" u="1"/>
        <d v="2025-11-06T00:00:00" u="1"/>
        <d v="2025-08-21T00:00:00" u="1"/>
        <d v="2025-10-26T00:00:00" u="1"/>
        <d v="2025-11-23T00:00:00" u="1"/>
        <d v="2025-12-02T00:00:00" u="1"/>
        <d v="2025-09-03T00:00:00" u="1"/>
        <d v="2025-09-14T00:00:00" u="1"/>
        <d v="2025-10-04T00:00:00" u="1"/>
        <d v="2025-08-27T00:00:00" u="1"/>
        <d v="2025-09-10T00:00:00" u="1"/>
        <d v="2025-08-13T00:00:00" u="1"/>
        <d v="2025-10-08T00:00:00" u="1"/>
        <d v="2025-10-06T00:00:00" u="1"/>
        <d v="2025-07-09T00:00:00" u="1"/>
        <d v="2025-09-25T00:00:00" u="1"/>
        <d v="2025-10-02T00:00:00" u="1"/>
        <d v="2025-12-03T00:00:00" u="1"/>
        <d v="2025-07-11T00:00:00" u="1"/>
        <d v="2025-10-31T00:00:00" u="1"/>
        <d v="2025-11-07T00:00:00" u="1"/>
        <d v="2025-07-15T00:00:00" u="1"/>
        <d v="2025-07-30T00:00:00" u="1"/>
        <d v="2025-08-08T00:00:00" u="1"/>
        <d v="2025-08-10T00:00:00" u="1"/>
        <d v="2025-08-23T00:00:00" u="1"/>
        <d v="2025-09-06T00:00:00" u="1"/>
        <d v="2025-09-08T00:00:00" u="1"/>
        <d v="2025-10-24T00:00:00" u="1"/>
        <d v="2025-12-01T00:00:00" u="1"/>
        <d v="2025-12-21T00:00:00" u="1"/>
        <d v="2025-12-22T00:00:00" u="1"/>
        <d v="2025-11-26T00:00:00" u="1"/>
        <d v="2025-10-17T00:00:00" u="1"/>
        <d v="2025-11-04T00:00:00" u="1"/>
        <d v="2025-11-24T00:00:00" u="1"/>
        <d v="2025-07-10T00:00:00" u="1"/>
        <d v="2025-07-16T00:00:00" u="1"/>
        <d v="2025-07-24T00:00:00" u="1"/>
        <d v="2025-08-02T00:00:00" u="1"/>
        <d v="2025-08-20T00:00:00" u="1"/>
        <d v="2025-10-09T00:00:00" u="1"/>
        <d v="2025-08-28T00:00:00" u="1"/>
        <d v="2025-08-31T00:00:00" u="1"/>
        <d v="2025-10-28T00:00:00" u="1"/>
        <d v="2025-12-18T00:00:00" u="1"/>
        <d v="2025-08-01T00:00:00" u="1"/>
        <d v="2025-12-28T00:00:00" u="1"/>
        <d v="2025-08-22T00:00:00" u="1"/>
        <d v="2025-11-30T00:00:00" u="1"/>
        <d v="2025-11-16T00:00:00" u="1"/>
        <d v="2025-10-20T00:00:00" u="1"/>
        <d v="2025-12-07T00:00:00" u="1"/>
        <d v="2025-08-04T00:00:00" u="1"/>
        <d v="2025-11-28T00:00:00" u="1"/>
        <d v="2025-08-03T00:00:00" u="1"/>
        <d v="2025-12-15T00:00:00" u="1"/>
        <d v="2025-07-23T00:00:00" u="1"/>
        <d v="2025-08-26T00:00:00" u="1"/>
        <d v="2025-08-29T00:00:00" u="1"/>
        <d v="2025-09-19T00:00:00" u="1"/>
        <d v="2025-09-01T00:00:00" u="1"/>
        <d v="2025-09-28T00:00:00" u="1"/>
        <d v="2025-10-15T00:00:00" u="1"/>
        <d v="2025-12-26T00:00:00" u="1"/>
        <d v="2025-09-27T00:00:00" u="1"/>
        <d v="2025-11-09T00:00:00" u="1"/>
        <d v="2025-12-08T00:00:00" u="1"/>
        <d v="2025-07-20T00:00:00" u="1"/>
        <d v="2025-07-25T00:00:00" u="1"/>
        <d v="2025-08-30T00:00:00" u="1"/>
        <d v="2025-12-16T00:00:00" u="1"/>
        <d v="2025-09-12T00:00:00" u="1"/>
        <d v="2025-10-13T00:00:00" u="1"/>
        <d v="2025-09-24T00:00:00" u="1"/>
        <d v="2025-11-19T00:00:00" u="1"/>
        <d v="2025-07-03T00:00:00" u="1"/>
        <d v="2025-10-03T00:00:00" u="1"/>
        <d v="2025-08-14T00:00:00" u="1"/>
        <d v="2025-10-23T00:00:00" u="1"/>
        <d v="2025-11-01T00:00:00" u="1"/>
        <d v="2025-07-06T00:00:00" u="1"/>
        <d v="2025-07-17T00:00:00" u="1"/>
        <d v="2025-12-05T00:00:00" u="1"/>
        <d v="2025-10-11T00:00:00" u="1"/>
        <d v="2025-11-20T00:00:00" u="1"/>
        <d v="2025-09-17T00:00:00" u="1"/>
        <d v="2025-11-13T00:00:00" u="1"/>
        <d v="2025-07-27T00:00:00" u="1"/>
        <d v="2025-09-13T00:00:00" u="1"/>
        <d v="2025-09-07T00:00:00" u="1"/>
        <d v="2025-12-17T00:00:00" u="1"/>
        <d v="2025-11-14T00:00:00" u="1"/>
        <d v="2025-11-22T00:00:00" u="1"/>
        <d v="2025-08-17T00:00:00" u="1"/>
        <d v="2025-08-18T00:00:00" u="1"/>
        <d v="2025-07-01T00:00:00" u="1"/>
        <d v="2025-12-29T00:00:00" u="1"/>
        <d v="2025-11-05T00:00:00" u="1"/>
        <d v="2025-12-31T00:00:00" u="1"/>
        <d v="2025-11-15T00:00:00" u="1"/>
        <d v="2025-07-13T00:00:00" u="1"/>
        <d v="2025-10-22T00:00:00" u="1"/>
        <d v="2025-12-11T00:00:00" u="1"/>
        <d v="2025-12-20T00:00:00" u="1"/>
        <d v="2025-12-27T00:00:00" u="1"/>
        <d v="2025-12-14T00:00:00" u="1"/>
        <d v="2025-11-27T00:00:00" u="1"/>
        <d v="2025-10-18T00:00:00" u="1"/>
        <d v="2025-12-06T00:00:00" u="1"/>
        <d v="2025-07-22T00:00:00" u="1"/>
        <d v="2025-08-24T00:00:00" u="1"/>
        <d v="2025-11-21T00:00:00" u="1"/>
        <d v="2025-10-27T00:00:00" u="1"/>
        <d v="2025-11-17T00:00:00" u="1"/>
        <d v="2025-09-26T00:00:00" u="1"/>
        <d v="2025-10-16T00:00:00" u="1"/>
        <d v="2025-10-21T00:00:00" u="1"/>
        <d v="2025-11-02T00:00:00" u="1"/>
        <d v="2025-11-11T00:00:00" u="1"/>
        <d v="2025-11-12T00:00:00" u="1"/>
        <d v="2025-10-10T00:00:00" u="1"/>
        <d v="2025-08-16T00:00:00" u="1"/>
        <d v="2025-11-18T00:00:00" u="1"/>
        <d v="2025-11-08T00:00:00" u="1"/>
        <d v="2025-06-11T00:00:00" u="1"/>
        <d v="2025-06-25T00:00:00" u="1"/>
        <d v="2025-06-13T00:00:00" u="1"/>
        <d v="2025-06-19T00:00:00" u="1"/>
        <d v="2025-06-15T00:00:00" u="1"/>
        <d v="2025-06-29T00:00:00" u="1"/>
        <d v="2025-06-30T00:00:00" u="1"/>
        <d v="2025-06-09T00:00:00" u="1"/>
        <d v="2025-06-14T00:00:00" u="1"/>
        <d v="2025-06-04T00:00:00" u="1"/>
        <d v="2025-06-10T00:00:00" u="1"/>
        <d v="2025-06-01T00:00:00" u="1"/>
        <d v="2025-06-12T00:00:00" u="1"/>
        <d v="2025-06-17T00:00:00" u="1"/>
        <d v="2025-06-07T00:00:00" u="1"/>
        <d v="2025-06-18T00:00:00" u="1"/>
        <d v="2025-06-20T00:00:00" u="1"/>
        <d v="2025-06-02T00:00:00" u="1"/>
        <d v="2025-06-23T00:00:00" u="1"/>
        <d v="2025-06-26T00:00:00" u="1"/>
        <d v="2025-06-24T00:00:00" u="1"/>
        <d v="2025-06-28T00:00:00" u="1"/>
        <d v="2025-06-03T00:00:00" u="1"/>
        <d v="2025-06-05T00:00:00" u="1"/>
        <d v="2025-06-08T00:00:00" u="1"/>
        <d v="2025-06-16T00:00:00" u="1"/>
        <d v="2025-06-06T00:00:00" u="1"/>
        <d v="2025-06-27T00:00:00" u="1"/>
        <d v="2025-06-22T00:00:00" u="1"/>
        <d v="2025-06-21T00:00:00" u="1"/>
        <d v="2025-02-20T00:00:00" u="1"/>
        <d v="2025-03-21T00:00:00" u="1"/>
        <d v="2025-05-04T00:00:00" u="1"/>
        <d v="2025-03-28T00:00:00" u="1"/>
        <d v="2025-05-01T00:00:00" u="1"/>
        <d v="2025-05-28T00:00:00" u="1"/>
        <d v="2025-04-12T00:00:00" u="1"/>
        <d v="2025-01-10T00:00:00" u="1"/>
        <d v="2025-01-25T00:00:00" u="1"/>
        <d v="2025-01-31T00:00:00" u="1"/>
        <d v="2025-02-26T00:00:00" u="1"/>
        <d v="2025-05-02T00:00:00" u="1"/>
        <d v="2025-05-30T00:00:00" u="1"/>
        <d v="2025-03-04T00:00:00" u="1"/>
        <d v="2025-03-26T00:00:00" u="1"/>
        <d v="2025-04-23T00:00:00" u="1"/>
        <d v="2025-05-07T00:00:00" u="1"/>
        <d v="2025-01-11T00:00:00" u="1"/>
        <d v="2025-04-19T00:00:00" u="1"/>
        <d v="2025-04-17T00:00:00" u="1"/>
        <d v="2025-05-25T00:00:00" u="1"/>
        <d v="2025-04-06T00:00:00" u="1"/>
        <d v="2025-04-09T00:00:00" u="1"/>
        <d v="2025-04-10T00:00:00" u="1"/>
        <d v="2025-05-09T00:00:00" u="1"/>
        <d v="2025-05-17T00:00:00" u="1"/>
        <d v="2025-05-20T00:00:00" u="1"/>
        <d v="2025-02-05T00:00:00" u="1"/>
        <d v="2025-03-09T00:00:00" u="1"/>
        <d v="2025-01-07T00:00:00" u="1"/>
        <d v="2025-02-10T00:00:00" u="1"/>
        <d v="2025-03-31T00:00:00" u="1"/>
        <d v="2025-04-20T00:00:00" u="1"/>
        <d v="2025-01-05T00:00:00" u="1"/>
        <d v="2025-01-06T00:00:00" u="1"/>
        <d v="2025-04-26T00:00:00" u="1"/>
        <d v="2025-05-26T00:00:00" u="1"/>
        <d v="2025-04-15T00:00:00" u="1"/>
        <d v="2025-04-27T00:00:00" u="1"/>
        <d v="2025-05-08T00:00:00" u="1"/>
        <d v="2025-03-15T00:00:00" u="1"/>
        <d v="2025-05-14T00:00:00" u="1"/>
        <d v="2025-05-18T00:00:00" u="1"/>
        <d v="2025-01-18T00:00:00" u="1"/>
        <d v="2025-01-29T00:00:00" u="1"/>
        <d v="2025-02-02T00:00:00" u="1"/>
        <d v="2025-02-06T00:00:00" u="1"/>
        <d v="2025-02-09T00:00:00" u="1"/>
        <d v="2025-02-13T00:00:00" u="1"/>
        <d v="2025-02-28T00:00:00" u="1"/>
        <d v="2025-03-27T00:00:00" u="1"/>
        <d v="2025-04-16T00:00:00" u="1"/>
        <d v="2025-03-19T00:00:00" u="1"/>
        <d v="2025-01-30T00:00:00" u="1"/>
        <d v="2025-05-19T00:00:00" u="1"/>
        <d v="2025-05-27T00:00:00" u="1"/>
        <d v="2025-05-12T00:00:00" u="1"/>
        <d v="2025-03-12T00:00:00" u="1"/>
        <d v="2025-05-03T00:00:00" u="1"/>
        <d v="2025-05-16T00:00:00" u="1"/>
        <d v="2025-05-31T00:00:00" u="1"/>
        <d v="2025-01-04T00:00:00" u="1"/>
        <d v="2025-01-19T00:00:00" u="1"/>
        <d v="2025-01-26T00:00:00" u="1"/>
        <d v="2025-01-28T00:00:00" u="1"/>
        <d v="2025-04-14T00:00:00" u="1"/>
        <d v="2025-04-22T00:00:00" u="1"/>
        <d v="2025-04-28T00:00:00" u="1"/>
        <d v="2025-05-21T00:00:00" u="1"/>
        <d v="2025-02-01T00:00:00" u="1"/>
        <d v="2025-04-05T00:00:00" u="1"/>
        <d v="2025-02-21T00:00:00" u="1"/>
        <d v="2025-04-07T00:00:00" u="1"/>
        <d v="2025-04-30T00:00:00" u="1"/>
        <d v="2025-01-16T00:00:00" u="1"/>
        <d v="2025-02-12T00:00:00" u="1"/>
        <d v="2025-04-13T00:00:00" u="1"/>
        <d v="2025-04-18T00:00:00" u="1"/>
        <d v="2025-05-05T00:00:00" u="1"/>
        <d v="2025-01-01T00:00:00" u="1"/>
        <d v="2025-04-03T00:00:00" u="1"/>
        <d v="2025-03-20T00:00:00" u="1"/>
        <d v="2025-05-29T00:00:00" u="1"/>
        <d v="2025-03-13T00:00:00" u="1"/>
        <d v="2025-03-10T00:00:00" u="1"/>
        <d v="2025-03-30T00:00:00" u="1"/>
        <d v="2025-04-21T00:00:00" u="1"/>
        <d v="2025-04-08T00:00:00" u="1"/>
        <d v="2025-03-18T00:00:00" u="1"/>
        <d v="2025-05-23T00:00:00" u="1"/>
        <d v="2025-01-27T00:00:00" u="1"/>
        <d v="2025-01-02T00:00:00" u="1"/>
        <d v="2025-01-03T00:00:00" u="1"/>
        <d v="2025-01-08T00:00:00" u="1"/>
        <d v="2025-01-09T00:00:00" u="1"/>
        <d v="2025-01-13T00:00:00" u="1"/>
        <d v="2025-01-14T00:00:00" u="1"/>
        <d v="2025-01-15T00:00:00" u="1"/>
        <d v="2025-01-17T00:00:00" u="1"/>
        <d v="2025-01-20T00:00:00" u="1"/>
        <d v="2025-01-21T00:00:00" u="1"/>
        <d v="2025-01-22T00:00:00" u="1"/>
        <d v="2025-01-23T00:00:00" u="1"/>
        <d v="2025-01-24T00:00:00" u="1"/>
        <d v="2025-01-12T00:00:00" u="1"/>
        <d v="2025-02-03T00:00:00" u="1"/>
        <d v="2025-02-14T00:00:00" u="1"/>
        <d v="2025-02-11T00:00:00" u="1"/>
        <d v="2025-02-08T00:00:00" u="1"/>
        <d v="2025-02-18T00:00:00" u="1"/>
        <d v="2025-02-15T00:00:00" u="1"/>
        <d v="2025-03-06T00:00:00" u="1"/>
        <d v="2025-02-25T00:00:00" u="1"/>
        <d v="2025-02-16T00:00:00" u="1"/>
        <d v="2025-02-24T00:00:00" u="1"/>
        <d v="2025-02-23T00:00:00" u="1"/>
        <d v="2025-03-08T00:00:00" u="1"/>
        <d v="2025-03-29T00:00:00" u="1"/>
        <d v="2025-04-01T00:00:00" u="1"/>
        <d v="2025-05-06T00:00:00" u="1"/>
        <d v="2025-02-07T00:00:00" u="1"/>
        <d v="2025-04-24T00:00:00" u="1"/>
        <d v="2025-03-23T00:00:00" u="1"/>
        <d v="2025-02-22T00:00:00" u="1"/>
        <d v="2025-02-27T00:00:00" u="1"/>
        <d v="2025-03-22T00:00:00" u="1"/>
        <d v="2025-04-11T00:00:00" u="1"/>
        <d v="2025-03-14T00:00:00" u="1"/>
        <d v="2025-03-16T00:00:00" u="1"/>
        <d v="2025-03-02T00:00:00" u="1"/>
        <d v="2025-05-22T00:00:00" u="1"/>
        <d v="2025-02-04T00:00:00" u="1"/>
        <d v="2025-02-19T00:00:00" u="1"/>
        <d v="2025-03-03T00:00:00" u="1"/>
        <d v="2025-03-11T00:00:00" u="1"/>
        <d v="2025-04-02T00:00:00" u="1"/>
        <d v="2025-04-04T00:00:00" u="1"/>
        <d v="2025-05-24T00:00:00" u="1"/>
        <d v="2025-05-11T00:00:00" u="1"/>
        <d v="2025-03-05T00:00:00" u="1"/>
        <d v="2025-05-15T00:00:00" u="1"/>
        <d v="2025-03-07T00:00:00" u="1"/>
        <d v="2025-05-10T00:00:00" u="1"/>
        <d v="2025-05-13T00:00:00" u="1"/>
        <d v="2025-03-24T00:00:00" u="1"/>
        <d v="2025-03-17T00:00:00" u="1"/>
        <d v="2025-03-25T00:00:00" u="1"/>
        <d v="2025-02-17T00:00:00" u="1"/>
        <d v="2025-04-29T00:00:00" u="1"/>
        <d v="2025-03-01T00:00:00" u="1"/>
        <d v="2025-04-25T00:00:00" u="1"/>
        <d v="2024-08-11T00:00:00" u="1"/>
        <d v="2024-11-06T00:00:00" u="1"/>
        <d v="2024-12-22T00:00:00" u="1"/>
        <d v="2024-08-01T00:00:00" u="1"/>
        <d v="2024-11-27T00:00:00" u="1"/>
        <d v="2024-09-27T00:00:00" u="1"/>
        <d v="2024-08-31T00:00:00" u="1"/>
        <d v="2024-11-30T00:00:00" u="1"/>
        <d v="2024-08-15T00:00:00" u="1"/>
        <d v="2024-10-10T00:00:00" u="1"/>
        <d v="2024-10-11T00:00:00" u="1"/>
        <d v="2024-10-02T00:00:00" u="1"/>
        <d v="2024-10-09T00:00:00" u="1"/>
        <d v="2024-12-04T00:00:00" u="1"/>
        <d v="2024-12-12T00:00:00" u="1"/>
        <d v="2024-09-29T00:00:00" u="1"/>
        <d v="2024-08-27T00:00:00" u="1"/>
        <d v="2024-08-21T00:00:00" u="1"/>
        <d v="2024-09-28T00:00:00" u="1"/>
        <d v="2024-11-05T00:00:00" u="1"/>
        <d v="2024-12-11T00:00:00" u="1"/>
        <d v="2024-10-04T00:00:00" u="1"/>
        <d v="2024-08-16T00:00:00" u="1"/>
        <d v="2024-08-22T00:00:00" u="1"/>
        <d v="2024-11-20T00:00:00" u="1"/>
        <d v="2024-12-18T00:00:00" u="1"/>
        <d v="2024-10-31T00:00:00" u="1"/>
        <d v="2024-11-03T00:00:00" u="1"/>
        <d v="2024-11-02T00:00:00" u="1"/>
        <d v="2024-11-13T00:00:00" u="1"/>
        <d v="2024-11-15T00:00:00" u="1"/>
        <d v="2024-09-16T00:00:00" u="1"/>
        <d v="2024-11-01T00:00:00" u="1"/>
        <d v="2024-12-27T00:00:00" u="1"/>
        <d v="2024-11-21T00:00:00" u="1"/>
        <d v="2024-10-14T00:00:00" u="1"/>
        <d v="2024-11-29T00:00:00" u="1"/>
        <d v="2024-07-31T00:00:00" u="1"/>
        <d v="2024-08-26T00:00:00" u="1"/>
        <d v="2024-11-09T00:00:00" u="1"/>
        <d v="2024-08-23T00:00:00" u="1"/>
        <d v="2024-09-20T00:00:00" u="1"/>
        <d v="2024-10-17T00:00:00" u="1"/>
        <d v="2024-12-23T00:00:00" u="1"/>
        <d v="2024-09-11T00:00:00" u="1"/>
        <d v="2024-09-24T00:00:00" u="1"/>
        <d v="2024-08-14T00:00:00" u="1"/>
        <d v="2024-10-16T00:00:00" u="1"/>
        <d v="2024-12-24T00:00:00" u="1"/>
        <d v="2024-08-19T00:00:00" u="1"/>
        <d v="2024-11-22T00:00:00" u="1"/>
        <d v="2024-07-18T00:00:00" u="1"/>
        <d v="2024-11-18T00:00:00" u="1"/>
        <d v="2024-07-06T00:00:00" u="1"/>
        <d v="2024-08-30T00:00:00" u="1"/>
        <d v="2024-11-07T00:00:00" u="1"/>
        <d v="2024-10-06T00:00:00" u="1"/>
        <d v="2024-10-12T00:00:00" u="1"/>
        <d v="2024-10-19T00:00:00" u="1"/>
        <d v="2024-12-19T00:00:00" u="1"/>
        <d v="2024-10-23T00:00:00" u="1"/>
        <d v="2024-12-03T00:00:00" u="1"/>
        <d v="2024-12-16T00:00:00" u="1"/>
        <d v="2024-10-29T00:00:00" u="1"/>
        <d v="2024-09-26T00:00:00" u="1"/>
        <d v="2024-12-25T00:00:00" u="1"/>
        <d v="2024-10-28T00:00:00" u="1"/>
        <d v="2024-10-15T00:00:00" u="1"/>
        <d v="2024-12-02T00:00:00" u="1"/>
        <d v="2024-07-07T00:00:00" u="1"/>
        <d v="2024-07-14T00:00:00" u="1"/>
        <d v="2024-09-14T00:00:00" u="1"/>
        <d v="2024-09-30T00:00:00" u="1"/>
        <d v="2024-09-21T00:00:00" u="1"/>
        <d v="2024-11-11T00:00:00" u="1"/>
        <d v="2024-10-13T00:00:00" u="1"/>
        <d v="2024-09-23T00:00:00" u="1"/>
        <d v="2024-12-20T00:00:00" u="1"/>
        <d v="2024-12-28T00:00:00" u="1"/>
        <d v="2024-12-26T00:00:00" u="1"/>
        <d v="2024-10-24T00:00:00" u="1"/>
        <d v="2024-09-13T00:00:00" u="1"/>
        <d v="2024-11-04T00:00:00" u="1"/>
        <d v="2024-09-04T00:00:00" u="1"/>
        <d v="2024-10-25T00:00:00" u="1"/>
        <d v="2024-09-22T00:00:00" u="1"/>
        <d v="2024-07-25T00:00:00" u="1"/>
        <d v="2024-08-13T00:00:00" u="1"/>
        <d v="2024-12-31T00:00:00" u="1"/>
        <d v="2024-09-05T00:00:00" u="1"/>
        <d v="2024-12-08T00:00:00" u="1"/>
        <d v="2024-07-17T00:00:00" u="1"/>
        <d v="2024-12-30T00:00:00" u="1"/>
        <d v="2024-11-14T00:00:00" u="1"/>
        <d v="2024-12-13T00:00:00" u="1"/>
        <d v="2024-12-05T00:00:00" u="1"/>
        <d v="2024-07-27T00:00:00" u="1"/>
        <d v="2024-09-09T00:00:00" u="1"/>
        <d v="2024-12-09T00:00:00" u="1"/>
        <d v="2024-05-02T00:00:00" u="1"/>
        <d v="2024-05-04T00:00:00" u="1"/>
        <d v="2024-05-06T00:00:00" u="1"/>
        <d v="2024-05-07T00:00:00" u="1"/>
        <d v="2024-05-10T00:00:00" u="1"/>
        <d v="2024-05-11T00:00:00" u="1"/>
        <d v="2024-05-14T00:00:00" u="1"/>
        <d v="2024-05-12T00:00:00" u="1"/>
        <d v="2024-05-15T00:00:00" u="1"/>
        <d v="2024-05-16T00:00:00" u="1"/>
        <d v="2024-05-17T00:00:00" u="1"/>
        <d v="2024-05-18T00:00:00" u="1"/>
        <d v="2024-05-24T00:00:00" u="1"/>
        <d v="2024-05-25T00:00:00" u="1"/>
        <d v="2024-05-26T00:00:00" u="1"/>
        <d v="2024-05-28T00:00:00" u="1"/>
        <d v="2024-05-01T00:00:00" u="1"/>
        <d v="2024-05-13T00:00:00" u="1"/>
        <d v="2024-11-24T00:00:00" u="1"/>
        <d v="2024-05-30T00:00:00" u="1"/>
        <d v="2024-09-03T00:00:00" u="1"/>
        <d v="2024-09-10T00:00:00" u="1"/>
        <d v="2024-05-22T00:00:00" u="1"/>
        <d v="2024-06-05T00:00:00" u="1"/>
        <d v="2024-05-23T00:00:00" u="1"/>
        <d v="2024-11-19T00:00:00" u="1"/>
        <d v="2024-12-21T00:00:00" u="1"/>
        <d v="2024-10-27T00:00:00" u="1"/>
        <d v="2024-07-23T00:00:00" u="1"/>
        <d v="2024-05-03T00:00:00" u="1"/>
        <d v="2024-05-09T00:00:00" u="1"/>
        <d v="2024-05-20T00:00:00" u="1"/>
        <d v="2024-05-21T00:00:00" u="1"/>
        <d v="2024-05-29T00:00:00" u="1"/>
        <d v="2024-06-03T00:00:00" u="1"/>
        <d v="2024-06-04T00:00:00" u="1"/>
        <d v="2024-06-07T00:00:00" u="1"/>
        <d v="2024-06-06T00:00:00" u="1"/>
        <d v="2024-06-08T00:00:00" u="1"/>
        <d v="2024-06-10T00:00:00" u="1"/>
        <d v="2024-06-12T00:00:00" u="1"/>
        <d v="2024-06-13T00:00:00" u="1"/>
        <d v="2024-06-16T00:00:00" u="1"/>
        <d v="2024-06-17T00:00:00" u="1"/>
        <d v="2024-06-18T00:00:00" u="1"/>
        <d v="2024-06-19T00:00:00" u="1"/>
        <d v="2024-06-20T00:00:00" u="1"/>
        <d v="2024-06-21T00:00:00" u="1"/>
        <d v="2024-06-25T00:00:00" u="1"/>
        <d v="2024-06-24T00:00:00" u="1"/>
        <d v="2024-06-26T00:00:00" u="1"/>
        <d v="2024-06-27T00:00:00" u="1"/>
        <d v="2024-06-28T00:00:00" u="1"/>
        <d v="2024-07-01T00:00:00" u="1"/>
        <d v="2024-07-03T00:00:00" u="1"/>
        <d v="2024-07-05T00:00:00" u="1"/>
        <d v="2024-07-09T00:00:00" u="1"/>
        <d v="2024-07-12T00:00:00" u="1"/>
        <d v="2024-07-13T00:00:00" u="1"/>
        <d v="2024-07-16T00:00:00" u="1"/>
        <d v="2024-07-19T00:00:00" u="1"/>
        <d v="2024-07-20T00:00:00" u="1"/>
        <d v="2024-07-21T00:00:00" u="1"/>
        <d v="2024-07-22T00:00:00" u="1"/>
        <d v="2024-07-24T00:00:00" u="1"/>
        <d v="2024-07-26T00:00:00" u="1"/>
        <d v="2024-07-28T00:00:00" u="1"/>
        <d v="2024-08-02T00:00:00" u="1"/>
        <d v="2024-08-03T00:00:00" u="1"/>
        <d v="2024-08-04T00:00:00" u="1"/>
        <d v="2024-08-05T00:00:00" u="1"/>
        <d v="2024-08-09T00:00:00" u="1"/>
        <d v="2024-08-12T00:00:00" u="1"/>
        <d v="2024-08-18T00:00:00" u="1"/>
        <d v="2024-08-24T00:00:00" u="1"/>
        <d v="2024-08-25T00:00:00" u="1"/>
        <d v="2024-09-01T00:00:00" u="1"/>
        <d v="2024-09-02T00:00:00" u="1"/>
        <d v="2024-09-06T00:00:00" u="1"/>
        <d v="2024-09-12T00:00:00" u="1"/>
        <d v="2024-09-15T00:00:00" u="1"/>
        <d v="2024-09-17T00:00:00" u="1"/>
        <d v="2024-09-18T00:00:00" u="1"/>
        <d v="2024-09-25T00:00:00" u="1"/>
        <d v="2024-10-01T00:00:00" u="1"/>
        <d v="2024-10-03T00:00:00" u="1"/>
        <d v="2024-10-05T00:00:00" u="1"/>
        <d v="2024-10-07T00:00:00" u="1"/>
        <d v="2024-10-08T00:00:00" u="1"/>
        <d v="2024-10-20T00:00:00" u="1"/>
        <d v="2024-10-22T00:00:00" u="1"/>
        <d v="2024-10-26T00:00:00" u="1"/>
        <d v="2024-10-30T00:00:00" u="1"/>
        <d v="2024-11-08T00:00:00" u="1"/>
        <d v="2024-11-10T00:00:00" u="1"/>
        <d v="2024-11-12T00:00:00" u="1"/>
        <d v="2024-11-23T00:00:00" u="1"/>
        <d v="2024-11-25T00:00:00" u="1"/>
        <d v="2024-11-26T00:00:00" u="1"/>
        <d v="2024-11-28T00:00:00" u="1"/>
        <d v="2024-12-01T00:00:00" u="1"/>
        <d v="2024-12-06T00:00:00" u="1"/>
        <d v="2024-12-07T00:00:00" u="1"/>
        <d v="2024-12-15T00:00:00" u="1"/>
        <d v="2024-12-17T00:00:00" u="1"/>
        <d v="2024-12-29T00:00:00" u="1"/>
        <d v="2024-10-18T00:00:00" u="1"/>
        <d v="2024-12-10T00:00:00" u="1"/>
        <d v="2024-12-14T00:00:00" u="1"/>
        <d v="2024-05-19T00:00:00" u="1"/>
        <d v="2024-06-23T00:00:00" u="1"/>
        <d v="2024-11-16T00:00:00" u="1"/>
        <d v="2024-06-22T00:00:00" u="1"/>
        <d v="2024-05-27T00:00:00" u="1"/>
        <d v="2024-06-29T00:00:00" u="1"/>
        <d v="2024-06-30T00:00:00" u="1"/>
        <d v="2024-06-01T00:00:00" u="1"/>
        <d v="2024-09-07T00:00:00" u="1"/>
        <d v="2024-10-21T00:00:00" u="1"/>
        <d v="2024-06-09T00:00:00" u="1"/>
        <d v="2024-05-31T00:00:00" u="1"/>
        <d v="2024-07-08T00:00:00" u="1"/>
        <d v="2024-09-19T00:00:00" u="1"/>
        <d v="2024-07-30T00:00:00" u="1"/>
        <d v="2024-08-29T00:00:00" u="1"/>
        <d v="2024-08-17T00:00:00" u="1"/>
        <d v="2024-08-20T00:00:00" u="1"/>
        <d v="2024-08-28T00:00:00" u="1"/>
        <d v="2024-08-10T00:00:00" u="1"/>
        <d v="2024-07-10T00:00:00" u="1"/>
        <d v="2024-07-15T00:00:00" u="1"/>
        <d v="2024-05-08T00:00:00" u="1"/>
        <d v="2024-08-06T00:00:00" u="1"/>
        <d v="2024-06-15T00:00:00" u="1"/>
        <d v="2024-07-04T00:00:00" u="1"/>
        <d v="2024-09-08T00:00:00" u="1"/>
        <d v="2024-11-17T00:00:00" u="1"/>
        <d v="2024-08-07T00:00:00" u="1"/>
        <d v="2024-06-11T00:00:00" u="1"/>
        <d v="2024-06-14T00:00:00" u="1"/>
        <d v="2024-07-11T00:00:00" u="1"/>
        <d v="2024-06-02T00:00:00" u="1"/>
        <d v="2024-07-02T00:00:00" u="1"/>
        <d v="2024-07-29T00:00:00" u="1"/>
        <d v="2024-08-08T00:00:00" u="1"/>
        <d v="2024-05-05T00:00:00" u="1"/>
      </sharedItems>
      <fieldGroup par="32"/>
    </cacheField>
    <cacheField name="Date: First GR Posting - Key" uniqueList="1" numFmtId="164" sqlType="0" hierarchy="0" level="0" databaseField="1">
      <sharedItems count="0" containsDate="1" containsMixedTypes="1" minDate="2025-08-26T00:00:00" maxDate="2026-08-15T00:00:00"/>
    </cacheField>
    <cacheField name="Date: PO Statistical Delv - Key" uniqueList="1" numFmtId="164" sqlType="0" hierarchy="0" level="0" databaseField="1">
      <sharedItems count="0" containsDate="1" containsNonDate="0" containsSemiMixedTypes="0" containsString="0" minDate="2024-05-10T00:00:00" maxDate="2026-12-26T00:00:00"/>
    </cacheField>
    <cacheField name="Date : PO Change - Key" uniqueList="1" numFmtId="164" sqlType="0" hierarchy="0" level="0" databaseField="1">
      <sharedItems count="0" containsDate="1" containsNonDate="0" containsSemiMixedTypes="0" containsString="0" minDate="2025-08-26T00:00:00" maxDate="2026-08-18T00:00:00"/>
    </cacheField>
    <cacheField name="No. of PO Schd Line" uniqueList="1" numFmtId="0" sqlType="0" hierarchy="0" level="0" databaseField="1">
      <sharedItems count="0" containsInteger="1" containsNumber="1" containsSemiMixedTypes="0" containsString="0" minValue="0" maxValue="1"/>
    </cacheField>
    <cacheField name="Count of DIFOT" uniqueList="1" numFmtId="0" sqlType="0" hierarchy="0" level="0" databaseField="1">
      <sharedItems count="0" containsInteger="1" containsNumber="1" containsSemiMixedTypes="0" containsString="0" minValue="0" maxValue="1"/>
    </cacheField>
    <cacheField name="DIFOT%" uniqueList="1" numFmtId="165" sqlType="0" hierarchy="0" level="0" databaseField="1">
      <sharedItems count="0" containsInteger="1" containsMixedTypes="1" containsNumber="1" minValue="0" maxValue="100"/>
    </cacheField>
    <cacheField name="SEMANA" uniqueList="1" numFmtId="164" sqlType="0" hierarchy="0" level="0" databaseField="1">
      <sharedItems count="0"/>
    </cacheField>
    <cacheField name="MES" uniqueList="1" numFmtId="0" sqlType="0" hierarchy="0" level="0" databaseField="1">
      <sharedItems count="0"/>
    </cacheField>
    <cacheField name="DELIVERY" uniqueList="1" numFmtId="0" sqlType="0" hierarchy="0" level="0" databaseField="1">
      <sharedItems count="3">
        <s v="COMPLETA"/>
        <s v="PARCIAL"/>
        <s v="PENDIENTE"/>
      </sharedItems>
    </cacheField>
    <cacheField name="DEADLINE" uniqueList="1" numFmtId="0" sqlType="0" hierarchy="0" level="0" databaseField="1">
      <sharedItems count="0" containsInteger="1" containsNumber="1" containsSemiMixedTypes="0" containsString="0" minValue="-202" maxValue="279"/>
    </cacheField>
    <cacheField name="PERFORMANCE" uniqueList="1" numFmtId="0" sqlType="0" hierarchy="0" level="0" databaseField="1">
      <sharedItems count="2">
        <s v="OK"/>
        <s v="NOK"/>
      </sharedItems>
    </cacheField>
    <cacheField name="AÑO" uniqueList="1" numFmtId="0" sqlType="0" hierarchy="0" level="0" databaseField="1">
      <sharedItems count="0"/>
    </cacheField>
    <cacheField name="Months (Date : Calculated Delivery - Key)" uniqueList="1" numFmtId="0" sqlType="0" hierarchy="0" level="0" databaseField="0">
      <fieldGroup base="17">
        <rangePr autoStart="1" autoEnd="1" groupBy="months" startDate="2026-01-01T00:00:00" endDate="2026-12-26T00:00:00" groupInterval="1"/>
        <groupItems count="14">
          <s v="&lt;01/0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/12/2026"/>
        </groupItems>
      </fieldGroup>
    </cacheField>
    <cacheField name="Quarters (Date : Calculated Delivery - Key)" uniqueList="1" numFmtId="0" sqlType="0" hierarchy="0" level="0" databaseField="0">
      <fieldGroup base="17">
        <rangePr autoStart="1" autoEnd="1" groupBy="quarters" startDate="2026-01-01T00:00:00" endDate="2026-12-26T00:00:00" groupInterval="1"/>
        <groupItems count="6">
          <s v="&lt;01/01/2026"/>
          <s v="Qtr1"/>
          <s v="Qtr2"/>
          <s v="Qtr3"/>
          <s v="Qtr4"/>
          <s v="&gt;26/12/2026"/>
        </groupItems>
      </fieldGroup>
    </cacheField>
    <cacheField name="Years (Date : Calculated Delivery - Key)" uniqueList="1" numFmtId="0" sqlType="0" hierarchy="0" level="0" databaseField="0">
      <fieldGroup base="17">
        <rangePr autoStart="1" autoEnd="1" groupBy="years" startDate="2026-01-01T00:00:00" endDate="2026-12-26T00:00:00" groupInterval="1"/>
        <groupItems count="3">
          <s v="&lt;01/01/2026"/>
          <s v="2026"/>
          <s v="&gt;26/12/2026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count="1149">
  <r>
    <s v="Minerals Americas"/>
    <x v="0"/>
    <s v="Base Metals"/>
    <s v="30129536"/>
    <s v="CML COMERCIALIZADORA E IMPORTADORA"/>
    <s v="CPT"/>
    <s v="BY AGREEMENT"/>
    <s v="10"/>
    <s v="SM5"/>
    <x v="0"/>
    <s v="#"/>
    <s v="Not assigned"/>
    <s v="4519461016"/>
    <n v="40"/>
    <s v="Standard"/>
    <s v="X"/>
    <d v="2026-04-14T00:00:00"/>
    <x v="0"/>
    <d v="2026-04-22T00:00:00"/>
    <d v="2026-04-30T00:00:00"/>
    <d v="2026-04-22T00:00:00"/>
    <n v="1"/>
    <n v="1"/>
    <n v="100"/>
    <s v="SEM 29"/>
    <s v="Jul-2026"/>
    <x v="0"/>
    <n v="82"/>
    <x v="0"/>
    <s v="2026"/>
  </r>
  <r>
    <s v="Minerals Americas"/>
    <x v="0"/>
    <s v="BM Escondida"/>
    <s v="30129536"/>
    <s v="CML COMERCIALIZADORA E IMPORTADORA"/>
    <s v="CPT"/>
    <s v="BY AGREEMENT"/>
    <s v="10"/>
    <s v="S51"/>
    <x v="1"/>
    <s v="11454158"/>
    <s v="CABLE,ELEC,SUB,149/9"/>
    <s v="4519932013"/>
    <n v="3"/>
    <s v="Standard"/>
    <s v="#"/>
    <d v="2026-07-22T00:00:00"/>
    <x v="1"/>
    <d v="2026-08-13T00:00:00"/>
    <d v="2026-08-15T00:00:00"/>
    <d v="2026-07-29T00:00:00"/>
    <n v="1"/>
    <n v="0"/>
    <n v="0"/>
    <s v="SEM 38"/>
    <s v="Sep-2026"/>
    <x v="1"/>
    <n v="29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#"/>
    <s v="Not assigned"/>
    <s v="4519670262"/>
    <n v="2"/>
    <s v="Standard"/>
    <s v="X"/>
    <d v="2026-05-29T00:00:00"/>
    <x v="2"/>
    <d v="2026-06-22T00:00:00"/>
    <d v="2026-06-30T00:00:00"/>
    <d v="2026-06-22T00:00:00"/>
    <n v="1"/>
    <n v="1"/>
    <n v="100"/>
    <s v="SEM 27"/>
    <s v="Jun-2026"/>
    <x v="0"/>
    <n v="8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0379351"/>
    <s v="SPOOL PIECE,20IN NB,"/>
    <s v="4520007967"/>
    <n v="1"/>
    <s v="Standard"/>
    <s v="#"/>
    <d v="2026-08-06T00:00:00"/>
    <x v="3"/>
    <s v="#"/>
    <d v="2026-09-24T00:00:00"/>
    <d v="2026-08-06T00:00:00"/>
    <n v="1"/>
    <n v="0"/>
    <n v="0"/>
    <s v="SEM 39"/>
    <s v="Sep-2026"/>
    <x v="2"/>
    <n v="37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0388171"/>
    <s v="STRUCTURAL SECTION,S"/>
    <s v="4519216947"/>
    <n v="2"/>
    <s v="Standard"/>
    <s v="X"/>
    <d v="2026-02-19T00:00:00"/>
    <x v="4"/>
    <d v="2026-03-03T00:00:00"/>
    <d v="2026-03-04T00:00:00"/>
    <d v="2026-03-03T00:00:00"/>
    <n v="1"/>
    <n v="1"/>
    <n v="100"/>
    <s v="SEM 10"/>
    <s v="Mar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0388171"/>
    <s v="STRUCTURAL SECTION,S"/>
    <s v="4519434995"/>
    <n v="3"/>
    <s v="Standard"/>
    <s v="X"/>
    <d v="2026-04-09T00:00:00"/>
    <x v="5"/>
    <d v="2026-04-29T00:00:00"/>
    <d v="2026-04-30T00:00:00"/>
    <d v="2026-04-29T00:00:00"/>
    <n v="1"/>
    <n v="1"/>
    <n v="100"/>
    <s v="SEM 18"/>
    <s v="Apr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0388171"/>
    <s v="STRUCTURAL SECTION,S"/>
    <s v="4519795628"/>
    <n v="3"/>
    <s v="Standard"/>
    <s v="X"/>
    <d v="2026-06-24T00:00:00"/>
    <x v="6"/>
    <d v="2026-07-08T00:00:00"/>
    <d v="2026-07-09T00:00:00"/>
    <d v="2026-07-08T00:00:00"/>
    <n v="1"/>
    <n v="1"/>
    <n v="100"/>
    <s v="SEM 28"/>
    <s v="Jul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0388171"/>
    <s v="STRUCTURAL SECTION,S"/>
    <s v="4519924456"/>
    <n v="4"/>
    <s v="Standard"/>
    <s v="X"/>
    <d v="2026-07-20T00:00:00"/>
    <x v="7"/>
    <d v="2026-08-03T00:00:00"/>
    <d v="2026-08-04T00:00:00"/>
    <d v="2026-08-03T00:00:00"/>
    <n v="1"/>
    <n v="1"/>
    <n v="100"/>
    <s v="SEM 32"/>
    <s v="Aug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0413788"/>
    <s v="SENSOR,RUPTURE DISK,"/>
    <s v="4519567286"/>
    <n v="10"/>
    <s v="Standard"/>
    <s v="X"/>
    <d v="2026-05-07T00:00:00"/>
    <x v="8"/>
    <d v="2026-07-01T00:00:00"/>
    <d v="2026-07-02T00:00:00"/>
    <d v="2026-07-01T00:00:00"/>
    <n v="1"/>
    <n v="1"/>
    <n v="100"/>
    <s v="SEM 28"/>
    <s v="Jul-2026"/>
    <x v="0"/>
    <n v="5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0413788"/>
    <s v="SENSOR,RUPTURE DISK,"/>
    <s v="4519784560"/>
    <n v="5"/>
    <s v="Standard"/>
    <s v="X"/>
    <d v="2026-06-22T00:00:00"/>
    <x v="9"/>
    <d v="2026-07-17T00:00:00"/>
    <d v="2026-07-30T00:00:00"/>
    <d v="2026-07-17T00:00:00"/>
    <n v="1"/>
    <n v="1"/>
    <n v="100"/>
    <s v="SEM 33"/>
    <s v="Aug-2026"/>
    <x v="0"/>
    <n v="25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0471114"/>
    <s v="FILTER ELEMENT,AC,WA"/>
    <s v="4520009087"/>
    <n v="31"/>
    <s v="Standard"/>
    <s v="#"/>
    <d v="2026-08-06T00:00:00"/>
    <x v="10"/>
    <s v="#"/>
    <d v="2026-09-03T00:00:00"/>
    <d v="2026-08-06T00:00:00"/>
    <n v="1"/>
    <n v="0"/>
    <n v="0"/>
    <s v="SEM 38"/>
    <s v="Sep-2026"/>
    <x v="2"/>
    <n v="30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0985215"/>
    <s v="LINER,WEAR,MTL,WIL,4"/>
    <s v="4518741821"/>
    <n v="3"/>
    <s v="Standard"/>
    <s v="X"/>
    <d v="2025-10-29T00:00:00"/>
    <x v="11"/>
    <d v="2026-01-06T00:00:00"/>
    <d v="2026-01-27T00:00:00"/>
    <d v="2026-01-06T00:00:00"/>
    <n v="1"/>
    <n v="1"/>
    <n v="100"/>
    <s v="SEM 5"/>
    <s v="Jan-2026"/>
    <x v="0"/>
    <n v="21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046317"/>
    <s v="SENSOR,VIBRATION,EME"/>
    <s v="4519331915"/>
    <n v="1"/>
    <s v="Standard"/>
    <s v="X"/>
    <d v="2026-03-17T00:00:00"/>
    <x v="12"/>
    <d v="2026-05-04T00:00:00"/>
    <d v="2026-05-22T00:00:00"/>
    <d v="2026-05-04T00:00:00"/>
    <n v="1"/>
    <n v="1"/>
    <n v="100"/>
    <s v="SEM 22"/>
    <s v="May-2026"/>
    <x v="0"/>
    <n v="20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046317"/>
    <s v="SENSOR,VIBRATION,EME"/>
    <s v="4519717179"/>
    <n v="8"/>
    <s v="Standard"/>
    <s v="X"/>
    <d v="2026-06-09T00:00:00"/>
    <x v="13"/>
    <s v="#"/>
    <d v="2026-08-01T00:00:00"/>
    <d v="2026-06-11T00:00:00"/>
    <n v="1"/>
    <n v="0"/>
    <n v="0"/>
    <s v="SEM 34"/>
    <s v="Aug-2026"/>
    <x v="2"/>
    <n v="-2"/>
    <x v="1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198976"/>
    <s v="FLANGE,PIPE,SO,3IN N"/>
    <s v="4520014389"/>
    <n v="11"/>
    <s v="Standard"/>
    <s v="#"/>
    <d v="2026-08-07T00:00:00"/>
    <x v="14"/>
    <s v="#"/>
    <d v="2026-08-27T00:00:00"/>
    <d v="2026-08-07T00:00:00"/>
    <n v="1"/>
    <n v="0"/>
    <n v="0"/>
    <s v="SEM 35"/>
    <s v="Aug-2026"/>
    <x v="2"/>
    <n v="9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264066"/>
    <s v="BLANKET,HEAT,CGE200L"/>
    <s v="4518950452"/>
    <n v="1"/>
    <s v="Standard"/>
    <s v="X"/>
    <d v="2025-12-17T00:00:00"/>
    <x v="15"/>
    <d v="2026-01-09T00:00:00"/>
    <d v="2026-01-17T00:00:00"/>
    <d v="2026-01-09T00:00:00"/>
    <n v="1"/>
    <n v="1"/>
    <n v="100"/>
    <s v="SEM 3"/>
    <s v="Jan-2026"/>
    <x v="0"/>
    <n v="8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264066"/>
    <s v="BLANKET,HEAT,CGE200L"/>
    <s v="4519106476"/>
    <n v="4"/>
    <s v="Standard"/>
    <s v="X"/>
    <d v="2026-01-26T00:00:00"/>
    <x v="16"/>
    <d v="2026-02-04T00:00:00"/>
    <d v="2026-02-24T00:00:00"/>
    <d v="2026-02-04T00:00:00"/>
    <n v="1"/>
    <n v="1"/>
    <n v="100"/>
    <s v="SEM 9"/>
    <s v="Feb-2026"/>
    <x v="0"/>
    <n v="20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264066"/>
    <s v="BLANKET,HEAT,CGE200L"/>
    <s v="4519492388"/>
    <n v="1"/>
    <s v="Standard"/>
    <s v="X"/>
    <d v="2026-04-21T00:00:00"/>
    <x v="17"/>
    <d v="2026-06-01T00:00:00"/>
    <d v="2026-06-03T00:00:00"/>
    <d v="2026-06-01T00:00:00"/>
    <n v="1"/>
    <n v="1"/>
    <n v="100"/>
    <s v="SEM 23"/>
    <s v="Jun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264066"/>
    <s v="BLANKET,HEAT,CGE200L"/>
    <s v="4519652735"/>
    <n v="3"/>
    <s v="Standard"/>
    <s v="X"/>
    <d v="2026-05-25T00:00:00"/>
    <x v="18"/>
    <d v="2026-07-01T00:00:00"/>
    <d v="2026-07-03T00:00:00"/>
    <d v="2026-07-01T00:00:00"/>
    <n v="1"/>
    <n v="1"/>
    <n v="100"/>
    <s v="SEM 27"/>
    <s v="Jul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308703"/>
    <s v="FILTER ELEMENT,AC,PA"/>
    <s v="4519190513"/>
    <n v="24"/>
    <s v="Standard"/>
    <s v="X"/>
    <d v="2026-02-13T00:00:00"/>
    <x v="19"/>
    <d v="2026-07-01T00:00:00"/>
    <d v="2026-07-15T00:00:00"/>
    <d v="2026-07-01T00:00:00"/>
    <n v="1"/>
    <n v="1"/>
    <n v="100"/>
    <s v="SEM 29"/>
    <s v="Jul-2026"/>
    <x v="0"/>
    <n v="14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328616"/>
    <s v="WHEEL,MTL,DRVN,SAE 4"/>
    <s v="4519636845"/>
    <n v="1"/>
    <s v="Standard"/>
    <s v="#"/>
    <d v="2026-05-21T00:00:00"/>
    <x v="20"/>
    <s v="#"/>
    <d v="2026-09-19T00:00:00"/>
    <d v="2026-05-21T00:00:00"/>
    <n v="1"/>
    <n v="0"/>
    <n v="0"/>
    <s v="SEM 38"/>
    <s v="Sep-2026"/>
    <x v="2"/>
    <n v="32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328616"/>
    <s v="WHEEL,MTL,DRVN,SAE 4"/>
    <s v="4519796159"/>
    <n v="1"/>
    <s v="Standard"/>
    <s v="#"/>
    <d v="2026-06-24T00:00:00"/>
    <x v="21"/>
    <s v="#"/>
    <d v="2026-10-12T00:00:00"/>
    <d v="2026-06-24T00:00:00"/>
    <n v="1"/>
    <n v="0"/>
    <n v="0"/>
    <s v="SEM 43"/>
    <s v="Oct-2026"/>
    <x v="2"/>
    <n v="65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363648"/>
    <s v="TAPE,ADHESIVE,PACKIN"/>
    <s v="4519405223"/>
    <n v="20"/>
    <s v="Standard"/>
    <s v="X"/>
    <d v="2026-04-02T00:00:00"/>
    <x v="22"/>
    <d v="2026-07-01T00:00:00"/>
    <d v="2026-07-02T00:00:00"/>
    <d v="2026-07-01T00:00:00"/>
    <n v="1"/>
    <n v="1"/>
    <n v="100"/>
    <s v="SEM 27"/>
    <s v="Jul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369410"/>
    <s v="CABLE,ELEC,SPIRAL,12"/>
    <s v="4519756576"/>
    <n v="10"/>
    <s v="Standard"/>
    <s v="X"/>
    <d v="2026-06-16T00:00:00"/>
    <x v="23"/>
    <d v="2026-07-01T00:00:00"/>
    <d v="2026-07-17T00:00:00"/>
    <d v="2026-07-01T00:00:00"/>
    <n v="1"/>
    <n v="1"/>
    <n v="100"/>
    <s v="SEM 31"/>
    <s v="Jul-2026"/>
    <x v="0"/>
    <n v="30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371578"/>
    <s v="PADLOCK SET,RED,SS31"/>
    <s v="4519190417"/>
    <n v="50"/>
    <s v="Standard"/>
    <s v="X"/>
    <d v="2026-02-13T00:00:00"/>
    <x v="24"/>
    <d v="2026-04-01T00:00:00"/>
    <d v="2026-04-22T00:00:00"/>
    <d v="2026-04-01T00:00:00"/>
    <n v="1"/>
    <n v="1"/>
    <n v="100"/>
    <s v="SEM 20"/>
    <s v="May-2026"/>
    <x v="0"/>
    <n v="43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396351"/>
    <s v="TANK,LIQUID STORAGE,"/>
    <s v="4519497865"/>
    <n v="10"/>
    <s v="Standard"/>
    <s v="X"/>
    <d v="2026-04-22T00:00:00"/>
    <x v="22"/>
    <d v="2026-07-01T00:00:00"/>
    <d v="2026-07-02T00:00:00"/>
    <d v="2026-07-01T00:00:00"/>
    <n v="1"/>
    <n v="1"/>
    <n v="100"/>
    <s v="SEM 27"/>
    <s v="Jul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396481"/>
    <s v="BAR,RECT,25 X 500MM"/>
    <s v="4518859872"/>
    <n v="1"/>
    <s v="Standard"/>
    <s v="X"/>
    <d v="2025-11-25T00:00:00"/>
    <x v="25"/>
    <d v="2025-12-23T00:00:00"/>
    <d v="2025-12-27T00:00:00"/>
    <d v="2025-12-09T00:00:00"/>
    <n v="1"/>
    <n v="1"/>
    <n v="100"/>
    <s v="SEM 2"/>
    <s v="Jan-2026"/>
    <x v="0"/>
    <n v="12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396481"/>
    <s v="BAR,RECT,25 X 500MM"/>
    <s v="4518863927"/>
    <n v="1"/>
    <s v="Standard"/>
    <s v="X"/>
    <d v="2025-11-26T00:00:00"/>
    <x v="26"/>
    <d v="2025-12-09T00:00:00"/>
    <d v="2025-12-10T00:00:00"/>
    <d v="2025-12-09T00:00:00"/>
    <n v="1"/>
    <n v="1"/>
    <n v="100"/>
    <s v="SEM 2"/>
    <s v="Jan-2026"/>
    <x v="0"/>
    <n v="27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396481"/>
    <s v="BAR,RECT,25 X 500MM"/>
    <s v="4519080001"/>
    <n v="1"/>
    <s v="Standard"/>
    <s v="X"/>
    <d v="2026-01-19T00:00:00"/>
    <x v="27"/>
    <d v="2026-02-20T00:00:00"/>
    <d v="2026-02-20T00:00:00"/>
    <d v="2026-02-20T00:00:00"/>
    <n v="1"/>
    <n v="1"/>
    <n v="100"/>
    <s v="SEM 9"/>
    <s v="Feb-2026"/>
    <x v="0"/>
    <n v="8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396481"/>
    <s v="BAR,RECT,25 X 500MM"/>
    <s v="4519112315"/>
    <n v="1"/>
    <s v="Standard"/>
    <s v="X"/>
    <d v="2026-01-27T00:00:00"/>
    <x v="28"/>
    <d v="2026-02-25T00:00:00"/>
    <d v="2026-02-28T00:00:00"/>
    <d v="2026-02-25T00:00:00"/>
    <n v="1"/>
    <n v="1"/>
    <n v="100"/>
    <s v="SEM 11"/>
    <s v="Mar-2026"/>
    <x v="0"/>
    <n v="11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396481"/>
    <s v="BAR,RECT,25 X 500MM"/>
    <s v="4519148154"/>
    <n v="1"/>
    <s v="Standard"/>
    <s v="X"/>
    <d v="2026-02-04T00:00:00"/>
    <x v="29"/>
    <d v="2026-03-09T00:00:00"/>
    <d v="2026-03-03T00:00:00"/>
    <d v="2026-03-09T00:00:00"/>
    <n v="1"/>
    <n v="1"/>
    <n v="100"/>
    <s v="SEM 12"/>
    <s v="Mar-2026"/>
    <x v="0"/>
    <n v="7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397148"/>
    <s v="TUBING,NONMTL,160MM"/>
    <s v="4519808977"/>
    <n v="600"/>
    <s v="Standard"/>
    <s v="X"/>
    <d v="2026-06-26T00:00:00"/>
    <x v="30"/>
    <d v="2026-08-10T00:00:00"/>
    <d v="2026-08-03T00:00:00"/>
    <d v="2026-08-10T00:00:00"/>
    <n v="1"/>
    <n v="0"/>
    <n v="0"/>
    <s v="SEM 32"/>
    <s v="Aug-2026"/>
    <x v="0"/>
    <n v="-7"/>
    <x v="1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403204"/>
    <s v="PARTS KIT,HOIST,1 X"/>
    <s v="4520022918"/>
    <n v="1"/>
    <s v="Standard"/>
    <s v="#"/>
    <d v="2026-08-10T00:00:00"/>
    <x v="31"/>
    <s v="#"/>
    <d v="2026-09-11T00:00:00"/>
    <d v="2026-08-10T00:00:00"/>
    <n v="1"/>
    <n v="0"/>
    <n v="0"/>
    <s v="SEM 41"/>
    <s v="Oct-2026"/>
    <x v="2"/>
    <n v="48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436868"/>
    <s v="LIGHT,TRAFFIC,VEHIC,"/>
    <s v="4518680291"/>
    <n v="1"/>
    <s v="Standard"/>
    <s v="X"/>
    <d v="2025-10-15T00:00:00"/>
    <x v="32"/>
    <d v="2025-11-19T00:00:00"/>
    <d v="2025-12-04T00:00:00"/>
    <d v="2025-11-19T00:00:00"/>
    <n v="1"/>
    <n v="1"/>
    <n v="100"/>
    <s v="SEM 2"/>
    <s v="Jan-2026"/>
    <x v="0"/>
    <n v="50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436868"/>
    <s v="LIGHT,TRAFFIC,VEHIC,"/>
    <s v="4518741796"/>
    <n v="2"/>
    <s v="Standard"/>
    <s v="X"/>
    <d v="2025-10-29T00:00:00"/>
    <x v="33"/>
    <d v="2025-11-19T00:00:00"/>
    <d v="2025-12-15T00:00:00"/>
    <d v="2025-11-19T00:00:00"/>
    <n v="1"/>
    <n v="1"/>
    <n v="100"/>
    <s v="SEM 4"/>
    <s v="Jan-2026"/>
    <x v="0"/>
    <n v="64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436868"/>
    <s v="LIGHT,TRAFFIC,VEHIC,"/>
    <s v="4519275973"/>
    <n v="1"/>
    <s v="Standard"/>
    <s v="X"/>
    <d v="2026-03-05T00:00:00"/>
    <x v="34"/>
    <d v="2026-04-01T00:00:00"/>
    <d v="2026-05-02T00:00:00"/>
    <d v="2026-04-01T00:00:00"/>
    <n v="1"/>
    <n v="1"/>
    <n v="100"/>
    <s v="SEM 22"/>
    <s v="May-2026"/>
    <x v="0"/>
    <n v="58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436868"/>
    <s v="LIGHT,TRAFFIC,VEHIC,"/>
    <s v="4519331547"/>
    <n v="2"/>
    <s v="Standard"/>
    <s v="X"/>
    <d v="2026-03-17T00:00:00"/>
    <x v="35"/>
    <d v="2026-05-06T00:00:00"/>
    <d v="2026-05-16T00:00:00"/>
    <d v="2026-03-20T00:00:00"/>
    <n v="1"/>
    <n v="1"/>
    <n v="100"/>
    <s v="SEM 24"/>
    <s v="Jun-2026"/>
    <x v="0"/>
    <n v="35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549011"/>
    <s v="SOCKET SET,METRIC,7"/>
    <s v="4518854549"/>
    <n v="1"/>
    <s v="Standard"/>
    <s v="X"/>
    <d v="2025-11-24T00:00:00"/>
    <x v="36"/>
    <d v="2025-12-29T00:00:00"/>
    <d v="2025-12-29T00:00:00"/>
    <d v="2025-12-29T00:00:00"/>
    <n v="1"/>
    <n v="1"/>
    <n v="100"/>
    <s v="SEM 9"/>
    <s v="Feb-2026"/>
    <x v="0"/>
    <n v="55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549011"/>
    <s v="SOCKET SET,METRIC,7"/>
    <s v="4519424268"/>
    <n v="1"/>
    <s v="Standard"/>
    <s v="X"/>
    <d v="2026-04-07T00:00:00"/>
    <x v="8"/>
    <d v="2026-05-11T00:00:00"/>
    <d v="2026-05-12T00:00:00"/>
    <d v="2026-05-11T00:00:00"/>
    <n v="1"/>
    <n v="1"/>
    <n v="100"/>
    <s v="SEM 28"/>
    <s v="Jul-2026"/>
    <x v="0"/>
    <n v="56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549011"/>
    <s v="SOCKET SET,METRIC,7"/>
    <s v="4519424306"/>
    <n v="1"/>
    <s v="Standard"/>
    <s v="X"/>
    <d v="2026-04-07T00:00:00"/>
    <x v="37"/>
    <d v="2026-07-01T00:00:00"/>
    <d v="2026-07-05T00:00:00"/>
    <d v="2026-07-01T00:00:00"/>
    <n v="1"/>
    <n v="1"/>
    <n v="100"/>
    <s v="SEM 28"/>
    <s v="Jul-2026"/>
    <x v="0"/>
    <n v="4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549011"/>
    <s v="SOCKET SET,METRIC,7"/>
    <s v="4519658140"/>
    <n v="1"/>
    <s v="Standard"/>
    <s v="X"/>
    <d v="2026-05-26T00:00:00"/>
    <x v="38"/>
    <d v="2026-07-06T00:00:00"/>
    <d v="2026-08-02T00:00:00"/>
    <d v="2026-07-06T00:00:00"/>
    <n v="1"/>
    <n v="1"/>
    <n v="100"/>
    <s v="SEM 32"/>
    <s v="Aug-2026"/>
    <x v="0"/>
    <n v="27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605163"/>
    <s v="HEAT EXCH,REFRIGERAN"/>
    <s v="4519440296"/>
    <n v="2"/>
    <s v="Standard"/>
    <s v="X"/>
    <d v="2026-04-10T00:00:00"/>
    <x v="39"/>
    <d v="2026-04-24T00:00:00"/>
    <d v="2026-06-24T00:00:00"/>
    <d v="2026-04-24T00:00:00"/>
    <n v="1"/>
    <n v="1"/>
    <n v="100"/>
    <s v="SEM 26"/>
    <s v="Jun-2026"/>
    <x v="0"/>
    <n v="61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605163"/>
    <s v="HEAT EXCH,REFRIGERAN"/>
    <s v="4519809043"/>
    <n v="2"/>
    <s v="Standard"/>
    <s v="X"/>
    <d v="2026-06-26T00:00:00"/>
    <x v="40"/>
    <d v="2026-08-07T00:00:00"/>
    <d v="2026-08-22T00:00:00"/>
    <d v="2026-08-07T00:00:00"/>
    <n v="1"/>
    <n v="1"/>
    <n v="100"/>
    <s v="SEM 34"/>
    <s v="Aug-2026"/>
    <x v="0"/>
    <n v="15"/>
    <x v="0"/>
    <s v="2026"/>
  </r>
  <r>
    <s v="Minerals Americas"/>
    <x v="0"/>
    <s v="BM Escondida"/>
    <s v="30129536"/>
    <s v="CML COMERCIALIZADORA E IMPORTADORA"/>
    <s v="CPT"/>
    <s v="BY AGREEMENT"/>
    <s v="10"/>
    <s v="SM5"/>
    <x v="1"/>
    <s v="11605163"/>
    <s v="HEAT EXCH,REFRIGERAN"/>
    <s v="4520008584"/>
    <n v="2"/>
    <s v="Standard"/>
    <s v="#"/>
    <d v="2026-08-06T00:00:00"/>
    <x v="41"/>
    <s v="#"/>
    <d v="2026-09-27T00:00:00"/>
    <d v="2026-08-06T00:00:00"/>
    <n v="1"/>
    <n v="0"/>
    <n v="0"/>
    <s v="SEM 40"/>
    <s v="Sep-2026"/>
    <x v="2"/>
    <n v="40"/>
    <x v="0"/>
    <s v="2026"/>
  </r>
  <r>
    <s v="Minerals Americas"/>
    <x v="0"/>
    <s v="BM Escondida"/>
    <s v="30129536"/>
    <s v="CML COMERCIALIZADORA E IMPORTADORA"/>
    <s v="CPT"/>
    <s v="BY AGREEMENT"/>
    <s v="10"/>
    <s v="SM5"/>
    <x v="2"/>
    <s v="#"/>
    <s v="Not assigned"/>
    <s v="4518669095"/>
    <n v="1"/>
    <s v="Standard"/>
    <s v="X"/>
    <d v="2025-10-13T00:00:00"/>
    <x v="42"/>
    <d v="2025-10-29T00:00:00"/>
    <d v="2025-10-31T00:00:00"/>
    <d v="2025-10-29T00:00:00"/>
    <n v="1"/>
    <n v="1"/>
    <n v="100"/>
    <s v="SEM 3"/>
    <s v="Jan-2026"/>
    <x v="0"/>
    <n v="74"/>
    <x v="0"/>
    <s v="2026"/>
  </r>
  <r>
    <s v="Minerals Americas"/>
    <x v="0"/>
    <s v="BM Escondida"/>
    <s v="30129536"/>
    <s v="CML COMERCIALIZADORA E IMPORTADORA"/>
    <s v="CPT"/>
    <s v="BY AGREEMENT"/>
    <s v="10"/>
    <s v="SM5"/>
    <x v="2"/>
    <s v="#"/>
    <s v="Not assigned"/>
    <s v="4518684442"/>
    <n v="2"/>
    <s v="Standard"/>
    <s v="X"/>
    <d v="2025-10-16T00:00:00"/>
    <x v="43"/>
    <d v="2026-02-11T00:00:00"/>
    <d v="2025-11-03T00:00:00"/>
    <d v="2026-02-11T00:00:00"/>
    <n v="1"/>
    <n v="0"/>
    <n v="0"/>
    <s v="SEM 3"/>
    <s v="Jan-2026"/>
    <x v="0"/>
    <n v="-28"/>
    <x v="1"/>
    <s v="2026"/>
  </r>
  <r>
    <s v="Minerals Americas"/>
    <x v="0"/>
    <s v="BM Escondida"/>
    <s v="30129536"/>
    <s v="CML COMERCIALIZADORA E IMPORTADORA"/>
    <s v="CPT"/>
    <s v="BY AGREEMENT"/>
    <s v="10"/>
    <s v="SM5"/>
    <x v="2"/>
    <s v="#"/>
    <s v="Not assigned"/>
    <s v="4518711829"/>
    <n v="1"/>
    <s v="Standard"/>
    <s v="X"/>
    <d v="2025-10-22T00:00:00"/>
    <x v="44"/>
    <d v="2026-01-12T00:00:00"/>
    <d v="2026-01-23T00:00:00"/>
    <d v="2026-01-12T00:00:00"/>
    <n v="1"/>
    <n v="1"/>
    <n v="100"/>
    <s v="SEM 4"/>
    <s v="Jan-2026"/>
    <x v="0"/>
    <n v="11"/>
    <x v="0"/>
    <s v="2026"/>
  </r>
  <r>
    <s v="Minerals Americas"/>
    <x v="0"/>
    <s v="BM Escondida"/>
    <s v="30129536"/>
    <s v="CML COMERCIALIZADORA E IMPORTADORA"/>
    <s v="CPT"/>
    <s v="BY AGREEMENT"/>
    <s v="10"/>
    <s v="SM5"/>
    <x v="2"/>
    <s v="#"/>
    <s v="Not assigned"/>
    <s v="4518886916"/>
    <n v="3"/>
    <s v="Standard"/>
    <s v="X"/>
    <d v="2025-12-02T00:00:00"/>
    <x v="45"/>
    <d v="2025-12-29T00:00:00"/>
    <d v="2026-01-01T00:00:00"/>
    <d v="2025-12-16T00:00:00"/>
    <n v="1"/>
    <n v="1"/>
    <n v="100"/>
    <s v="SEM 10"/>
    <s v="Mar-2026"/>
    <x v="0"/>
    <n v="63"/>
    <x v="0"/>
    <s v="2026"/>
  </r>
  <r>
    <s v="Minerals Americas"/>
    <x v="0"/>
    <s v="BM Escondida"/>
    <s v="30129536"/>
    <s v="CML COMERCIALIZADORA E IMPORTADORA"/>
    <s v="CPT"/>
    <s v="BY AGREEMENT"/>
    <s v="10"/>
    <s v="SM5"/>
    <x v="2"/>
    <s v="#"/>
    <s v="Not assigned"/>
    <s v="4519031345"/>
    <n v="2"/>
    <s v="Standard"/>
    <s v="X"/>
    <d v="2026-01-07T00:00:00"/>
    <x v="46"/>
    <d v="2026-04-01T00:00:00"/>
    <d v="2026-04-10T00:00:00"/>
    <d v="2026-04-01T00:00:00"/>
    <n v="1"/>
    <n v="1"/>
    <n v="100"/>
    <s v="SEM 15"/>
    <s v="Apr-2026"/>
    <x v="0"/>
    <n v="9"/>
    <x v="0"/>
    <s v="2026"/>
  </r>
  <r>
    <s v="Minerals Americas"/>
    <x v="0"/>
    <s v="BM Escondida"/>
    <s v="30129536"/>
    <s v="CML COMERCIALIZADORA E IMPORTADORA"/>
    <s v="CPT"/>
    <s v="BY AGREEMENT"/>
    <s v="10"/>
    <s v="SM5"/>
    <x v="2"/>
    <s v="#"/>
    <s v="Not assigned"/>
    <s v="4519041278"/>
    <n v="1"/>
    <s v="Standard"/>
    <s v="X"/>
    <d v="2026-01-09T00:00:00"/>
    <x v="47"/>
    <d v="2026-02-02T00:00:00"/>
    <d v="2026-02-28T00:00:00"/>
    <d v="2026-02-02T00:00:00"/>
    <n v="1"/>
    <n v="1"/>
    <n v="100"/>
    <s v="SEM 15"/>
    <s v="Apr-2026"/>
    <x v="0"/>
    <n v="66"/>
    <x v="0"/>
    <s v="2026"/>
  </r>
  <r>
    <s v="Minerals Americas"/>
    <x v="0"/>
    <s v="BM Escondida"/>
    <s v="30129536"/>
    <s v="CML COMERCIALIZADORA E IMPORTADORA"/>
    <s v="CPT"/>
    <s v="BY AGREEMENT"/>
    <s v="10"/>
    <s v="SM5"/>
    <x v="2"/>
    <s v="#"/>
    <s v="Not assigned"/>
    <s v="4519185947"/>
    <n v="1"/>
    <s v="Standard"/>
    <s v="X"/>
    <d v="2026-02-12T00:00:00"/>
    <x v="48"/>
    <d v="2026-02-26T00:00:00"/>
    <d v="2026-02-26T00:00:00"/>
    <d v="2026-02-26T00:00:00"/>
    <n v="1"/>
    <n v="1"/>
    <n v="100"/>
    <s v="SEM 20"/>
    <s v="May-2026"/>
    <x v="0"/>
    <n v="76"/>
    <x v="0"/>
    <s v="2026"/>
  </r>
  <r>
    <s v="Minerals Americas"/>
    <x v="0"/>
    <s v="BM Escondida"/>
    <s v="30129536"/>
    <s v="CML COMERCIALIZADORA E IMPORTADORA"/>
    <s v="CPT"/>
    <s v="BY AGREEMENT"/>
    <s v="10"/>
    <s v="SM5"/>
    <x v="2"/>
    <s v="#"/>
    <s v="Not assigned"/>
    <s v="4519276761"/>
    <n v="2"/>
    <s v="Standard"/>
    <s v="X"/>
    <d v="2026-03-05T00:00:00"/>
    <x v="17"/>
    <d v="2026-03-13T00:00:00"/>
    <d v="2026-03-31T00:00:00"/>
    <d v="2026-03-13T00:00:00"/>
    <n v="1"/>
    <n v="1"/>
    <n v="100"/>
    <s v="SEM 23"/>
    <s v="Jun-2026"/>
    <x v="0"/>
    <n v="82"/>
    <x v="0"/>
    <s v="2026"/>
  </r>
  <r>
    <s v="Minerals Americas"/>
    <x v="0"/>
    <s v="BM Escondida"/>
    <s v="30129536"/>
    <s v="CML COMERCIALIZADORA E IMPORTADORA"/>
    <s v="CPT"/>
    <s v="BY AGREEMENT"/>
    <s v="10"/>
    <s v="SM5"/>
    <x v="2"/>
    <s v="#"/>
    <s v="Not assigned"/>
    <s v="4519362171"/>
    <n v="5"/>
    <s v="Standard"/>
    <s v="X"/>
    <d v="2026-03-24T00:00:00"/>
    <x v="49"/>
    <d v="2026-04-07T00:00:00"/>
    <d v="2026-04-15T00:00:00"/>
    <d v="2026-04-07T00:00:00"/>
    <n v="1"/>
    <n v="0"/>
    <n v="0"/>
    <s v="SEM 14"/>
    <s v="Mar-2026"/>
    <x v="0"/>
    <n v="-9"/>
    <x v="1"/>
    <s v="2026"/>
  </r>
  <r>
    <s v="Minerals Americas"/>
    <x v="0"/>
    <s v="BM Escondida"/>
    <s v="30129536"/>
    <s v="CML COMERCIALIZADORA E IMPORTADORA"/>
    <s v="CPT"/>
    <s v="BY AGREEMENT"/>
    <s v="10"/>
    <s v="SM5"/>
    <x v="2"/>
    <s v="#"/>
    <s v="Not assigned"/>
    <s v="4519440305"/>
    <n v="2"/>
    <s v="Standard"/>
    <s v="X"/>
    <d v="2026-04-10T00:00:00"/>
    <x v="6"/>
    <d v="2026-05-08T00:00:00"/>
    <d v="2026-05-08T00:00:00"/>
    <d v="2026-05-08T00:00:00"/>
    <n v="1"/>
    <n v="1"/>
    <n v="100"/>
    <s v="SEM 28"/>
    <s v="Jul-2026"/>
    <x v="0"/>
    <n v="62"/>
    <x v="0"/>
    <s v="2026"/>
  </r>
  <r>
    <s v="Minerals Americas"/>
    <x v="0"/>
    <s v="BM Escondida"/>
    <s v="30129536"/>
    <s v="CML COMERCIALIZADORA E IMPORTADORA"/>
    <s v="CPT"/>
    <s v="BY AGREEMENT"/>
    <s v="10"/>
    <s v="SM5"/>
    <x v="2"/>
    <s v="#"/>
    <s v="Not assigned"/>
    <s v="4519546611"/>
    <n v="2"/>
    <s v="Standard"/>
    <s v="X"/>
    <d v="2026-05-04T00:00:00"/>
    <x v="38"/>
    <d v="2026-07-27T00:00:00"/>
    <d v="2026-08-02T00:00:00"/>
    <d v="2026-07-27T00:00:00"/>
    <n v="1"/>
    <n v="1"/>
    <n v="100"/>
    <s v="SEM 32"/>
    <s v="Aug-2026"/>
    <x v="0"/>
    <n v="6"/>
    <x v="0"/>
    <s v="2026"/>
  </r>
  <r>
    <s v="Minerals Americas"/>
    <x v="0"/>
    <s v="BM Escondida"/>
    <s v="30129536"/>
    <s v="CML COMERCIALIZADORA E IMPORTADORA"/>
    <s v="CPT"/>
    <s v="BY AGREEMENT"/>
    <s v="10"/>
    <s v="SM5"/>
    <x v="2"/>
    <s v="#"/>
    <s v="Not assigned"/>
    <s v="4519571656"/>
    <n v="5"/>
    <s v="Standard"/>
    <s v="X"/>
    <d v="2026-05-08T00:00:00"/>
    <x v="50"/>
    <d v="2026-05-27T00:00:00"/>
    <d v="2026-05-08T00:00:00"/>
    <d v="2026-05-27T00:00:00"/>
    <n v="1"/>
    <n v="0"/>
    <n v="0"/>
    <s v="SEM 32"/>
    <s v="Aug-2026"/>
    <x v="0"/>
    <n v="71"/>
    <x v="0"/>
    <s v="2026"/>
  </r>
  <r>
    <s v="Minerals Americas"/>
    <x v="0"/>
    <s v="BM Escondida"/>
    <s v="30129536"/>
    <s v="CML COMERCIALIZADORA E IMPORTADORA"/>
    <s v="CPT"/>
    <s v="BY AGREEMENT"/>
    <s v="10"/>
    <s v="SM5"/>
    <x v="2"/>
    <s v="#"/>
    <s v="Not assigned"/>
    <s v="4519571796"/>
    <n v="10"/>
    <s v="Standard"/>
    <s v="X"/>
    <d v="2026-05-08T00:00:00"/>
    <x v="50"/>
    <d v="2026-07-01T00:00:00"/>
    <d v="2026-07-01T00:00:00"/>
    <d v="2026-07-01T00:00:00"/>
    <n v="1"/>
    <n v="1"/>
    <n v="100"/>
    <s v="SEM 32"/>
    <s v="Aug-2026"/>
    <x v="0"/>
    <n v="36"/>
    <x v="0"/>
    <s v="2026"/>
  </r>
  <r>
    <s v="Minerals Americas"/>
    <x v="0"/>
    <s v="BM Escondida"/>
    <s v="30129536"/>
    <s v="CML COMERCIALIZADORA E IMPORTADORA"/>
    <s v="CPT"/>
    <s v="BY AGREEMENT"/>
    <s v="10"/>
    <s v="SM5"/>
    <x v="2"/>
    <s v="#"/>
    <s v="Not assigned"/>
    <s v="4519631273"/>
    <n v="35"/>
    <s v="Standard"/>
    <s v="X"/>
    <d v="2026-05-20T00:00:00"/>
    <x v="51"/>
    <d v="2026-06-03T00:00:00"/>
    <d v="2026-06-14T00:00:00"/>
    <d v="2026-06-03T00:00:00"/>
    <n v="1"/>
    <n v="1"/>
    <n v="100"/>
    <s v="SEM 34"/>
    <s v="Aug-2026"/>
    <x v="0"/>
    <n v="76"/>
    <x v="0"/>
    <s v="2026"/>
  </r>
  <r>
    <s v="Minerals Americas"/>
    <x v="0"/>
    <s v="BM Escondida"/>
    <s v="30129536"/>
    <s v="CML COMERCIALIZADORA E IMPORTADORA"/>
    <s v="CPT"/>
    <s v="BY AGREEMENT"/>
    <s v="10"/>
    <s v="SM5"/>
    <x v="2"/>
    <s v="#"/>
    <s v="Not assigned"/>
    <s v="4519631458"/>
    <n v="500"/>
    <s v="Standard"/>
    <s v="X"/>
    <d v="2026-05-20T00:00:00"/>
    <x v="51"/>
    <d v="2026-06-10T00:00:00"/>
    <d v="2026-06-19T00:00:00"/>
    <d v="2026-06-10T00:00:00"/>
    <n v="1"/>
    <n v="1"/>
    <n v="100"/>
    <s v="SEM 34"/>
    <s v="Aug-2026"/>
    <x v="0"/>
    <n v="69"/>
    <x v="0"/>
    <s v="2026"/>
  </r>
  <r>
    <s v="Minerals Americas"/>
    <x v="0"/>
    <s v="BM Escondida"/>
    <s v="30129536"/>
    <s v="CML COMERCIALIZADORA E IMPORTADORA"/>
    <s v="CPT"/>
    <s v="BY AGREEMENT"/>
    <s v="10"/>
    <s v="SM5"/>
    <x v="2"/>
    <s v="#"/>
    <s v="Not assigned"/>
    <s v="4519749643"/>
    <n v="10"/>
    <s v="Standard"/>
    <s v="X"/>
    <d v="2026-06-15T00:00:00"/>
    <x v="52"/>
    <d v="2026-07-07T00:00:00"/>
    <d v="2026-06-22T00:00:00"/>
    <d v="2026-07-07T00:00:00"/>
    <n v="1"/>
    <n v="1"/>
    <n v="100"/>
    <s v="SEM 38"/>
    <s v="Sep-2026"/>
    <x v="0"/>
    <n v="68"/>
    <x v="0"/>
    <s v="2026"/>
  </r>
  <r>
    <s v="Minerals Americas"/>
    <x v="0"/>
    <s v="BM Escondida"/>
    <s v="30129536"/>
    <s v="CML COMERCIALIZADORA E IMPORTADORA"/>
    <s v="CPT"/>
    <s v="BY AGREEMENT"/>
    <s v="10"/>
    <s v="SM5"/>
    <x v="2"/>
    <s v="#"/>
    <s v="Not assigned"/>
    <s v="4519784080"/>
    <n v="1"/>
    <s v="Standard"/>
    <s v="X"/>
    <d v="2026-06-22T00:00:00"/>
    <x v="53"/>
    <d v="2026-07-13T00:00:00"/>
    <d v="2026-07-25T00:00:00"/>
    <d v="2026-07-13T00:00:00"/>
    <n v="1"/>
    <n v="1"/>
    <n v="100"/>
    <s v="SEM 39"/>
    <s v="Sep-2026"/>
    <x v="0"/>
    <n v="69"/>
    <x v="0"/>
    <s v="2026"/>
  </r>
  <r>
    <s v="Minerals Americas"/>
    <x v="0"/>
    <s v="BM Escondida"/>
    <s v="30129536"/>
    <s v="CML COMERCIALIZADORA E IMPORTADORA"/>
    <s v="CPT"/>
    <s v="BY AGREEMENT"/>
    <s v="10"/>
    <s v="SM5"/>
    <x v="2"/>
    <s v="#"/>
    <s v="Not assigned"/>
    <s v="4519796920"/>
    <n v="5"/>
    <s v="Standard"/>
    <s v="#"/>
    <d v="2026-06-24T00:00:00"/>
    <x v="54"/>
    <s v="#"/>
    <d v="2026-09-25T00:00:00"/>
    <d v="2026-06-24T00:00:00"/>
    <n v="1"/>
    <n v="0"/>
    <n v="0"/>
    <s v="SEM 39"/>
    <s v="Sep-2026"/>
    <x v="2"/>
    <n v="38"/>
    <x v="0"/>
    <s v="2026"/>
  </r>
  <r>
    <s v="Minerals Americas"/>
    <x v="0"/>
    <s v="BM Escondida"/>
    <s v="30129536"/>
    <s v="CML COMERCIALIZADORA E IMPORTADORA"/>
    <s v="CPT"/>
    <s v="BY AGREEMENT"/>
    <s v="10"/>
    <s v="SM5"/>
    <x v="2"/>
    <s v="#"/>
    <s v="Not assigned"/>
    <s v="4519909060"/>
    <n v="4"/>
    <s v="Standard"/>
    <s v="#"/>
    <d v="2026-07-16T00:00:00"/>
    <x v="55"/>
    <s v="#"/>
    <d v="2026-09-26T00:00:00"/>
    <d v="2026-07-16T00:00:00"/>
    <n v="1"/>
    <n v="0"/>
    <n v="0"/>
    <s v="SEM 42"/>
    <s v="Oct-2026"/>
    <x v="2"/>
    <n v="57"/>
    <x v="0"/>
    <s v="2026"/>
  </r>
  <r>
    <s v="Minerals Americas"/>
    <x v="0"/>
    <s v="BM Escondida"/>
    <s v="30129536"/>
    <s v="CML COMERCIALIZADORA E IMPORTADORA"/>
    <s v="CPT"/>
    <s v="BY AGREEMENT"/>
    <s v="10"/>
    <s v="SM5"/>
    <x v="2"/>
    <s v="#"/>
    <s v="Not assigned"/>
    <s v="4519942172"/>
    <n v="1"/>
    <s v="Standard"/>
    <s v="#"/>
    <d v="2026-07-23T00:00:00"/>
    <x v="56"/>
    <s v="#"/>
    <d v="2026-09-26T00:00:00"/>
    <d v="2026-07-23T00:00:00"/>
    <n v="1"/>
    <n v="0"/>
    <n v="0"/>
    <s v="SEM 43"/>
    <s v="Oct-2026"/>
    <x v="2"/>
    <n v="6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145549"/>
    <s v="FILTER ELEMENT,HYD O"/>
    <s v="4518961947"/>
    <n v="6"/>
    <s v="Standard"/>
    <s v="X"/>
    <d v="2025-12-20T00:00:00"/>
    <x v="57"/>
    <d v="2026-01-27T00:00:00"/>
    <d v="2026-01-12T00:00:00"/>
    <d v="2026-01-27T00:00:00"/>
    <n v="1"/>
    <n v="0"/>
    <n v="0"/>
    <s v="SEM 3"/>
    <s v="Jan-2026"/>
    <x v="0"/>
    <n v="-15"/>
    <x v="1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145549"/>
    <s v="FILTER ELEMENT,HYD O"/>
    <s v="4519090106"/>
    <n v="5"/>
    <s v="Standard"/>
    <s v="X"/>
    <d v="2026-01-21T00:00:00"/>
    <x v="58"/>
    <d v="2026-02-04T00:00:00"/>
    <d v="2026-02-13T00:00:00"/>
    <d v="2026-02-04T00:00:00"/>
    <n v="1"/>
    <n v="1"/>
    <n v="100"/>
    <s v="SEM 7"/>
    <s v="Feb-2026"/>
    <x v="0"/>
    <n v="9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145549"/>
    <s v="FILTER ELEMENT,HYD O"/>
    <s v="4519393394"/>
    <n v="6"/>
    <s v="Standard"/>
    <s v="X"/>
    <d v="2026-03-31T00:00:00"/>
    <x v="59"/>
    <d v="2026-04-29T00:00:00"/>
    <d v="2026-04-23T00:00:00"/>
    <d v="2026-04-29T00:00:00"/>
    <n v="1"/>
    <n v="0"/>
    <n v="0"/>
    <s v="SEM 17"/>
    <s v="Apr-2026"/>
    <x v="0"/>
    <n v="-6"/>
    <x v="1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145549"/>
    <s v="FILTER ELEMENT,HYD O"/>
    <s v="4519760937"/>
    <n v="6"/>
    <s v="Standard"/>
    <s v="X"/>
    <d v="2026-06-17T00:00:00"/>
    <x v="60"/>
    <d v="2026-07-06T00:00:00"/>
    <d v="2026-07-10T00:00:00"/>
    <d v="2026-07-06T00:00:00"/>
    <n v="1"/>
    <n v="1"/>
    <n v="100"/>
    <s v="SEM 28"/>
    <s v="Jul-2026"/>
    <x v="0"/>
    <n v="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145549"/>
    <s v="FILTER ELEMENT,HYD O"/>
    <s v="4519889305"/>
    <n v="6"/>
    <s v="Standard"/>
    <s v="X"/>
    <d v="2026-07-13T00:00:00"/>
    <x v="61"/>
    <d v="2026-08-05T00:00:00"/>
    <d v="2026-08-05T00:00:00"/>
    <d v="2026-08-05T00:00:00"/>
    <n v="1"/>
    <n v="1"/>
    <n v="100"/>
    <s v="SEM 32"/>
    <s v="Aug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280638"/>
    <s v="MODULE,COMMS,2 PORT,"/>
    <s v="4519402630"/>
    <n v="2"/>
    <s v="Standard"/>
    <s v="X"/>
    <d v="2026-04-02T00:00:00"/>
    <x v="62"/>
    <d v="2026-05-06T00:00:00"/>
    <d v="2026-05-19T00:00:00"/>
    <d v="2026-05-06T00:00:00"/>
    <n v="1"/>
    <n v="1"/>
    <n v="100"/>
    <s v="SEM 21"/>
    <s v="May-2026"/>
    <x v="0"/>
    <n v="1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72035"/>
    <s v="COUPLING,CLAMP,PIPE,"/>
    <s v="4519474748"/>
    <n v="3"/>
    <s v="Standard"/>
    <s v="X"/>
    <d v="2026-04-17T00:00:00"/>
    <x v="63"/>
    <d v="2026-05-20T00:00:00"/>
    <d v="2026-05-25T00:00:00"/>
    <d v="2026-05-20T00:00:00"/>
    <n v="1"/>
    <n v="1"/>
    <n v="100"/>
    <s v="SEM 22"/>
    <s v="May-2026"/>
    <x v="0"/>
    <n v="5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72599"/>
    <s v="GASKET,SPIRAL,600PSI"/>
    <s v="4519652479"/>
    <n v="2"/>
    <s v="Standard"/>
    <s v="X"/>
    <d v="2026-05-25T00:00:00"/>
    <x v="64"/>
    <d v="2026-06-08T00:00:00"/>
    <d v="2026-06-17T00:00:00"/>
    <d v="2026-06-08T00:00:00"/>
    <n v="1"/>
    <n v="1"/>
    <n v="100"/>
    <s v="SEM 25"/>
    <s v="Jun-2026"/>
    <x v="0"/>
    <n v="9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73932"/>
    <s v="LAMP,120V,150W,QUART"/>
    <s v="4519418679"/>
    <n v="17"/>
    <s v="Standard"/>
    <s v="X"/>
    <d v="2026-04-06T00:00:00"/>
    <x v="65"/>
    <d v="2026-06-16T00:00:00"/>
    <d v="2026-05-20T00:00:00"/>
    <d v="2026-06-16T00:00:00"/>
    <n v="1"/>
    <n v="0"/>
    <n v="0"/>
    <s v="SEM 21"/>
    <s v="May-2026"/>
    <x v="0"/>
    <n v="-27"/>
    <x v="1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73932"/>
    <s v="LAMP,120V,150W,QUART"/>
    <s v="4519968503"/>
    <n v="17"/>
    <s v="Standard"/>
    <s v="#"/>
    <d v="2026-07-29T00:00:00"/>
    <x v="66"/>
    <s v="#"/>
    <d v="2026-08-31T00:00:00"/>
    <d v="2026-07-29T00:00:00"/>
    <n v="1"/>
    <n v="0"/>
    <n v="0"/>
    <s v="SEM 36"/>
    <s v="Aug-2026"/>
    <x v="2"/>
    <n v="1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74711"/>
    <s v="SHIM SET,5IN W,13 TH"/>
    <s v="4519111483"/>
    <n v="1"/>
    <s v="Standard"/>
    <s v="X"/>
    <d v="2026-01-27T00:00:00"/>
    <x v="27"/>
    <d v="2026-02-04T00:00:00"/>
    <d v="2026-02-28T00:00:00"/>
    <d v="2026-02-04T00:00:00"/>
    <n v="1"/>
    <n v="1"/>
    <n v="100"/>
    <s v="SEM 9"/>
    <s v="Feb-2026"/>
    <x v="0"/>
    <n v="2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74711"/>
    <s v="SHIM SET,5IN W,13 TH"/>
    <s v="4519439848"/>
    <n v="1"/>
    <s v="Standard"/>
    <s v="X"/>
    <d v="2026-04-10T00:00:00"/>
    <x v="48"/>
    <d v="2026-05-11T00:00:00"/>
    <d v="2026-05-13T00:00:00"/>
    <d v="2026-05-11T00:00:00"/>
    <n v="1"/>
    <n v="1"/>
    <n v="100"/>
    <s v="SEM 20"/>
    <s v="May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74711"/>
    <s v="SHIM SET,5IN W,13 TH"/>
    <s v="4519952300"/>
    <n v="1"/>
    <s v="Standard"/>
    <s v="#"/>
    <d v="2026-07-26T00:00:00"/>
    <x v="67"/>
    <s v="#"/>
    <d v="2026-08-28T00:00:00"/>
    <d v="2026-07-26T00:00:00"/>
    <n v="1"/>
    <n v="0"/>
    <n v="0"/>
    <s v="SEM 35"/>
    <s v="Aug-2026"/>
    <x v="2"/>
    <n v="1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74711"/>
    <s v="SHIM SET,5IN W,13 TH"/>
    <s v="4520030750"/>
    <n v="2"/>
    <s v="Standard"/>
    <s v="#"/>
    <d v="2026-08-11T00:00:00"/>
    <x v="52"/>
    <s v="#"/>
    <d v="2026-09-13T00:00:00"/>
    <d v="2026-08-11T00:00:00"/>
    <n v="1"/>
    <n v="0"/>
    <n v="0"/>
    <s v="SEM 38"/>
    <s v="Sep-2026"/>
    <x v="2"/>
    <n v="26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75043"/>
    <s v="LAMP,120VAC,150W,WHT"/>
    <s v="4519632278"/>
    <n v="10"/>
    <s v="Standard"/>
    <s v="X"/>
    <d v="2026-05-21T00:00:00"/>
    <x v="68"/>
    <d v="2026-07-13T00:00:00"/>
    <d v="2026-06-23T00:00:00"/>
    <d v="2026-07-13T00:00:00"/>
    <n v="1"/>
    <n v="0"/>
    <n v="0"/>
    <s v="SEM 26"/>
    <s v="Jun-2026"/>
    <x v="0"/>
    <n v="-20"/>
    <x v="1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77795"/>
    <s v="ROD,CONT THD,1-5/8IN"/>
    <s v="4518980140"/>
    <n v="15"/>
    <s v="Standard"/>
    <s v="X"/>
    <d v="2025-12-25T00:00:00"/>
    <x v="15"/>
    <d v="2026-01-08T00:00:00"/>
    <d v="2026-01-17T00:00:00"/>
    <d v="2026-01-08T00:00:00"/>
    <n v="1"/>
    <n v="1"/>
    <n v="100"/>
    <s v="SEM 3"/>
    <s v="Jan-2026"/>
    <x v="0"/>
    <n v="9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77795"/>
    <s v="ROD,CONT THD,1-5/8IN"/>
    <s v="4519314265"/>
    <n v="100"/>
    <s v="Standard"/>
    <s v="X"/>
    <d v="2026-03-13T00:00:00"/>
    <x v="69"/>
    <d v="2026-04-02T00:00:00"/>
    <d v="2026-04-05T00:00:00"/>
    <d v="2026-04-02T00:00:00"/>
    <n v="1"/>
    <n v="1"/>
    <n v="100"/>
    <s v="SEM 15"/>
    <s v="Apr-2026"/>
    <x v="0"/>
    <n v="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77795"/>
    <s v="ROD,CONT THD,1-5/8IN"/>
    <s v="4519500546"/>
    <n v="30"/>
    <s v="Standard"/>
    <s v="X"/>
    <d v="2026-04-23T00:00:00"/>
    <x v="70"/>
    <d v="2026-06-01T00:00:00"/>
    <d v="2026-06-08T00:00:00"/>
    <d v="2026-06-01T00:00:00"/>
    <n v="1"/>
    <n v="1"/>
    <n v="100"/>
    <s v="SEM 24"/>
    <s v="Jun-2026"/>
    <x v="0"/>
    <n v="7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78704"/>
    <s v="TRANSMITTER,PRESS,SM"/>
    <s v="4520046669"/>
    <n v="3"/>
    <s v="Standard"/>
    <s v="#"/>
    <d v="2026-08-14T00:00:00"/>
    <x v="71"/>
    <s v="#"/>
    <d v="2026-10-06T00:00:00"/>
    <d v="2026-08-14T00:00:00"/>
    <n v="1"/>
    <n v="0"/>
    <n v="0"/>
    <s v="SEM 41"/>
    <s v="Oct-2026"/>
    <x v="2"/>
    <n v="49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79850"/>
    <s v="FILTER,FLUID,CART,GE"/>
    <s v="4519138157"/>
    <n v="24"/>
    <s v="Standard"/>
    <s v="X"/>
    <d v="2026-02-02T00:00:00"/>
    <x v="72"/>
    <d v="2026-02-13T00:00:00"/>
    <d v="2026-02-25T00:00:00"/>
    <d v="2026-02-13T00:00:00"/>
    <n v="1"/>
    <n v="1"/>
    <n v="100"/>
    <s v="SEM 9"/>
    <s v="Feb-2026"/>
    <x v="0"/>
    <n v="1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79850"/>
    <s v="FILTER,FLUID,CART,GE"/>
    <s v="4519184668"/>
    <n v="2"/>
    <s v="Standard"/>
    <s v="X"/>
    <d v="2026-02-12T00:00:00"/>
    <x v="73"/>
    <d v="2026-03-05T00:00:00"/>
    <d v="2026-03-07T00:00:00"/>
    <d v="2026-03-05T00:00:00"/>
    <n v="1"/>
    <n v="1"/>
    <n v="100"/>
    <s v="SEM 10"/>
    <s v="Mar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79850"/>
    <s v="FILTER,FLUID,CART,GE"/>
    <s v="4519689299"/>
    <n v="3"/>
    <s v="Standard"/>
    <s v="X"/>
    <d v="2026-06-02T00:00:00"/>
    <x v="74"/>
    <d v="2026-06-23T00:00:00"/>
    <d v="2026-06-25T00:00:00"/>
    <d v="2026-06-23T00:00:00"/>
    <n v="1"/>
    <n v="1"/>
    <n v="100"/>
    <s v="SEM 26"/>
    <s v="Jun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79850"/>
    <s v="FILTER,FLUID,CART,GE"/>
    <s v="4519913753"/>
    <n v="12"/>
    <s v="Standard"/>
    <s v="X"/>
    <d v="2026-07-17T00:00:00"/>
    <x v="75"/>
    <d v="2026-08-05T00:00:00"/>
    <d v="2026-08-09T00:00:00"/>
    <d v="2026-08-05T00:00:00"/>
    <n v="1"/>
    <n v="1"/>
    <n v="100"/>
    <s v="SEM 33"/>
    <s v="Aug-2026"/>
    <x v="0"/>
    <n v="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79963"/>
    <s v="PLUMB BOB,LEAD,70MM"/>
    <s v="4518952866"/>
    <n v="250"/>
    <s v="Standard"/>
    <s v="X"/>
    <d v="2025-12-18T00:00:00"/>
    <x v="76"/>
    <d v="2026-01-09T00:00:00"/>
    <d v="2026-01-20T00:00:00"/>
    <d v="2026-01-09T00:00:00"/>
    <n v="1"/>
    <n v="1"/>
    <n v="100"/>
    <s v="SEM 4"/>
    <s v="Jan-2026"/>
    <x v="0"/>
    <n v="1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79963"/>
    <s v="PLUMB BOB,LEAD,70MM"/>
    <s v="4518996711"/>
    <n v="100"/>
    <s v="Standard"/>
    <s v="X"/>
    <d v="2025-12-30T00:00:00"/>
    <x v="77"/>
    <d v="2026-01-29T00:00:00"/>
    <d v="2026-02-01T00:00:00"/>
    <d v="2026-01-29T00:00:00"/>
    <n v="1"/>
    <n v="1"/>
    <n v="100"/>
    <s v="SEM 6"/>
    <s v="Feb-2026"/>
    <x v="0"/>
    <n v="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79963"/>
    <s v="PLUMB BOB,LEAD,70MM"/>
    <s v="4519117690"/>
    <n v="200"/>
    <s v="Standard"/>
    <s v="X"/>
    <d v="2026-01-28T00:00:00"/>
    <x v="45"/>
    <d v="2026-03-02T00:00:00"/>
    <d v="2026-03-02T00:00:00"/>
    <d v="2026-03-02T00:00:00"/>
    <n v="1"/>
    <n v="1"/>
    <n v="100"/>
    <s v="SEM 10"/>
    <s v="Mar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79963"/>
    <s v="PLUMB BOB,LEAD,70MM"/>
    <s v="4519193964"/>
    <n v="200"/>
    <s v="Standard"/>
    <s v="X"/>
    <d v="2026-02-15T00:00:00"/>
    <x v="78"/>
    <d v="2026-03-09T00:00:00"/>
    <d v="2026-03-20T00:00:00"/>
    <d v="2026-03-09T00:00:00"/>
    <n v="1"/>
    <n v="1"/>
    <n v="100"/>
    <s v="SEM 12"/>
    <s v="Mar-2026"/>
    <x v="0"/>
    <n v="1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79963"/>
    <s v="PLUMB BOB,LEAD,70MM"/>
    <s v="4519343633"/>
    <n v="150"/>
    <s v="Standard"/>
    <s v="X"/>
    <d v="2026-03-20T00:00:00"/>
    <x v="79"/>
    <d v="2026-04-02T00:00:00"/>
    <d v="2026-04-22T00:00:00"/>
    <d v="2026-04-02T00:00:00"/>
    <n v="1"/>
    <n v="1"/>
    <n v="100"/>
    <s v="SEM 17"/>
    <s v="Apr-2026"/>
    <x v="0"/>
    <n v="2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79963"/>
    <s v="PLUMB BOB,LEAD,70MM"/>
    <s v="4519356634"/>
    <n v="500"/>
    <s v="Standard"/>
    <s v="X"/>
    <d v="2026-03-23T00:00:00"/>
    <x v="80"/>
    <d v="2026-04-27T00:00:00"/>
    <d v="2026-04-25T00:00:00"/>
    <d v="2026-04-27T00:00:00"/>
    <n v="1"/>
    <n v="0"/>
    <n v="0"/>
    <s v="SEM 17"/>
    <s v="Apr-2026"/>
    <x v="0"/>
    <n v="-2"/>
    <x v="1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79963"/>
    <s v="PLUMB BOB,LEAD,70MM"/>
    <s v="4519365626"/>
    <n v="200"/>
    <s v="Standard"/>
    <s v="X"/>
    <d v="2026-03-25T00:00:00"/>
    <x v="81"/>
    <d v="2026-04-21T00:00:00"/>
    <d v="2026-04-27T00:00:00"/>
    <d v="2026-04-21T00:00:00"/>
    <n v="1"/>
    <n v="1"/>
    <n v="100"/>
    <s v="SEM 18"/>
    <s v="Apr-2026"/>
    <x v="0"/>
    <n v="6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79963"/>
    <s v="PLUMB BOB,LEAD,70MM"/>
    <s v="4519494660"/>
    <n v="150"/>
    <s v="Standard"/>
    <s v="X"/>
    <d v="2026-04-22T00:00:00"/>
    <x v="63"/>
    <d v="2026-05-25T00:00:00"/>
    <d v="2026-05-25T00:00:00"/>
    <d v="2026-05-25T00:00:00"/>
    <n v="1"/>
    <n v="1"/>
    <n v="100"/>
    <s v="SEM 22"/>
    <s v="May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79963"/>
    <s v="PLUMB BOB,LEAD,70MM"/>
    <s v="4519572488"/>
    <n v="200"/>
    <s v="Standard"/>
    <s v="X"/>
    <d v="2026-05-09T00:00:00"/>
    <x v="35"/>
    <d v="2026-06-03T00:00:00"/>
    <d v="2026-06-10T00:00:00"/>
    <d v="2026-06-03T00:00:00"/>
    <n v="1"/>
    <n v="1"/>
    <n v="100"/>
    <s v="SEM 24"/>
    <s v="Jun-2026"/>
    <x v="0"/>
    <n v="7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79963"/>
    <s v="PLUMB BOB,LEAD,70MM"/>
    <s v="4519862089"/>
    <n v="150"/>
    <s v="Standard"/>
    <s v="X"/>
    <d v="2026-07-07T00:00:00"/>
    <x v="75"/>
    <d v="2026-08-03T00:00:00"/>
    <d v="2026-08-09T00:00:00"/>
    <d v="2026-08-03T00:00:00"/>
    <n v="1"/>
    <n v="1"/>
    <n v="100"/>
    <s v="SEM 33"/>
    <s v="Aug-2026"/>
    <x v="0"/>
    <n v="6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79963"/>
    <s v="PLUMB BOB,LEAD,70MM"/>
    <s v="4519958016"/>
    <n v="100"/>
    <s v="Standard"/>
    <s v="#"/>
    <d v="2026-07-27T00:00:00"/>
    <x v="82"/>
    <s v="#"/>
    <d v="2026-08-29T00:00:00"/>
    <d v="2026-07-27T00:00:00"/>
    <n v="1"/>
    <n v="0"/>
    <n v="0"/>
    <s v="SEM 35"/>
    <s v="Aug-2026"/>
    <x v="2"/>
    <n v="1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0644"/>
    <s v="DRUM,WIDE OPENING,PL"/>
    <s v="4519001143"/>
    <n v="1080"/>
    <s v="Standard"/>
    <s v="X"/>
    <d v="2025-12-31T00:00:00"/>
    <x v="44"/>
    <d v="2026-01-15T00:00:00"/>
    <d v="2026-01-23T00:00:00"/>
    <d v="2026-01-16T00:00:00"/>
    <n v="1"/>
    <n v="1"/>
    <n v="100"/>
    <s v="SEM 4"/>
    <s v="Jan-2026"/>
    <x v="0"/>
    <n v="8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0644"/>
    <s v="DRUM,WIDE OPENING,PL"/>
    <s v="4519641536"/>
    <n v="1080"/>
    <s v="Standard"/>
    <s v="X"/>
    <d v="2026-05-22T00:00:00"/>
    <x v="83"/>
    <d v="2026-06-03T00:00:00"/>
    <d v="2026-06-14T00:00:00"/>
    <d v="2026-06-04T00:00:00"/>
    <n v="1"/>
    <n v="1"/>
    <n v="100"/>
    <s v="SEM 25"/>
    <s v="Jun-2026"/>
    <x v="0"/>
    <n v="1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1481"/>
    <s v="PAINT,FLURO,YLW,ENAM"/>
    <s v="4518917898"/>
    <n v="30"/>
    <s v="Standard"/>
    <s v="X"/>
    <d v="2025-12-09T00:00:00"/>
    <x v="84"/>
    <d v="2026-01-02T00:00:00"/>
    <d v="2026-01-06T00:00:00"/>
    <d v="2026-01-02T00:00:00"/>
    <n v="1"/>
    <n v="1"/>
    <n v="100"/>
    <s v="SEM 2"/>
    <s v="Jan-2026"/>
    <x v="0"/>
    <n v="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1481"/>
    <s v="PAINT,FLURO,YLW,ENAM"/>
    <s v="4519031426"/>
    <n v="30"/>
    <s v="Standard"/>
    <s v="X"/>
    <d v="2026-01-07T00:00:00"/>
    <x v="85"/>
    <d v="2026-02-03T00:00:00"/>
    <d v="2026-02-04T00:00:00"/>
    <d v="2026-02-04T00:00:00"/>
    <n v="1"/>
    <n v="1"/>
    <n v="100"/>
    <s v="SEM 6"/>
    <s v="Feb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1481"/>
    <s v="PAINT,FLURO,YLW,ENAM"/>
    <s v="4519244679"/>
    <n v="10"/>
    <s v="Standard"/>
    <s v="X"/>
    <d v="2026-02-26T00:00:00"/>
    <x v="86"/>
    <d v="2026-03-17T00:00:00"/>
    <d v="2026-03-26T00:00:00"/>
    <d v="2026-03-17T00:00:00"/>
    <n v="1"/>
    <n v="1"/>
    <n v="100"/>
    <s v="SEM 13"/>
    <s v="Mar-2026"/>
    <x v="0"/>
    <n v="9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1628"/>
    <s v="LINER,WEAR,WHT IRON,"/>
    <s v="4518616921"/>
    <n v="200"/>
    <s v="Standard"/>
    <s v="X"/>
    <d v="2025-10-01T00:00:00"/>
    <x v="87"/>
    <d v="2026-02-02T00:00:00"/>
    <d v="2026-02-23T00:00:00"/>
    <d v="2026-02-02T00:00:00"/>
    <n v="1"/>
    <n v="1"/>
    <n v="100"/>
    <s v="SEM 9"/>
    <s v="Feb-2026"/>
    <x v="0"/>
    <n v="2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1628"/>
    <s v="LINER,WEAR,WHT IRON,"/>
    <s v="4518742101"/>
    <n v="50"/>
    <s v="Standard"/>
    <s v="X"/>
    <d v="2025-10-29T00:00:00"/>
    <x v="87"/>
    <d v="2026-02-02T00:00:00"/>
    <d v="2026-02-23T00:00:00"/>
    <d v="2026-02-02T00:00:00"/>
    <n v="1"/>
    <n v="1"/>
    <n v="100"/>
    <s v="SEM 9"/>
    <s v="Feb-2026"/>
    <x v="0"/>
    <n v="2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1628"/>
    <s v="LINER,WEAR,WHT IRON,"/>
    <s v="4519014823"/>
    <n v="34"/>
    <s v="Standard"/>
    <s v="X"/>
    <d v="2026-01-04T00:00:00"/>
    <x v="88"/>
    <d v="2026-02-02T00:00:00"/>
    <d v="2026-02-16T00:00:00"/>
    <d v="2026-02-02T00:00:00"/>
    <n v="1"/>
    <n v="1"/>
    <n v="100"/>
    <s v="SEM 8"/>
    <s v="Feb-2026"/>
    <x v="0"/>
    <n v="1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1628"/>
    <s v="LINER,WEAR,WHT IRON,"/>
    <s v="4519179220"/>
    <n v="34"/>
    <s v="Standard"/>
    <s v="X"/>
    <d v="2026-02-11T00:00:00"/>
    <x v="86"/>
    <d v="2026-03-06T00:00:00"/>
    <d v="2026-03-26T00:00:00"/>
    <d v="2026-03-06T00:00:00"/>
    <n v="1"/>
    <n v="1"/>
    <n v="100"/>
    <s v="SEM 13"/>
    <s v="Mar-2026"/>
    <x v="0"/>
    <n v="2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1628"/>
    <s v="LINER,WEAR,WHT IRON,"/>
    <s v="4519880284"/>
    <n v="34"/>
    <s v="Standard"/>
    <s v="#"/>
    <d v="2026-07-10T00:00:00"/>
    <x v="40"/>
    <s v="#"/>
    <d v="2026-08-22T00:00:00"/>
    <d v="2026-07-10T00:00:00"/>
    <n v="1"/>
    <n v="0"/>
    <n v="0"/>
    <s v="SEM 34"/>
    <s v="Aug-2026"/>
    <x v="2"/>
    <n v="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1803"/>
    <s v="CEMENT,IRON &amp; STEEL,"/>
    <s v="4519216867"/>
    <n v="3"/>
    <s v="Standard"/>
    <s v="X"/>
    <d v="2026-02-19T00:00:00"/>
    <x v="89"/>
    <d v="2026-03-11T00:00:00"/>
    <d v="2026-03-14T00:00:00"/>
    <d v="2026-03-11T00:00:00"/>
    <n v="1"/>
    <n v="1"/>
    <n v="100"/>
    <s v="SEM 11"/>
    <s v="Mar-2026"/>
    <x v="0"/>
    <n v="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1803"/>
    <s v="CEMENT,IRON &amp; STEEL,"/>
    <s v="4519403464"/>
    <n v="3"/>
    <s v="Standard"/>
    <s v="X"/>
    <d v="2026-04-02T00:00:00"/>
    <x v="80"/>
    <d v="2026-04-21T00:00:00"/>
    <d v="2026-04-25T00:00:00"/>
    <d v="2026-04-21T00:00:00"/>
    <n v="1"/>
    <n v="1"/>
    <n v="100"/>
    <s v="SEM 17"/>
    <s v="Apr-2026"/>
    <x v="0"/>
    <n v="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1803"/>
    <s v="CEMENT,IRON &amp; STEEL,"/>
    <s v="4519785317"/>
    <n v="8"/>
    <s v="Standard"/>
    <s v="X"/>
    <d v="2026-06-23T00:00:00"/>
    <x v="19"/>
    <d v="2026-07-08T00:00:00"/>
    <d v="2026-07-15T00:00:00"/>
    <d v="2026-06-23T00:00:00"/>
    <n v="1"/>
    <n v="1"/>
    <n v="100"/>
    <s v="SEM 29"/>
    <s v="Jul-2026"/>
    <x v="0"/>
    <n v="7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1803"/>
    <s v="CEMENT,IRON &amp; STEEL,"/>
    <s v="4519839878"/>
    <n v="10"/>
    <s v="Standard"/>
    <s v="X"/>
    <d v="2026-07-02T00:00:00"/>
    <x v="90"/>
    <d v="2026-07-21T00:00:00"/>
    <d v="2026-07-25T00:00:00"/>
    <d v="2026-07-21T00:00:00"/>
    <n v="1"/>
    <n v="1"/>
    <n v="100"/>
    <s v="SEM 30"/>
    <s v="Jul-2026"/>
    <x v="0"/>
    <n v="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1803"/>
    <s v="CEMENT,IRON &amp; STEEL,"/>
    <s v="4519864674"/>
    <n v="3"/>
    <s v="Standard"/>
    <s v="X"/>
    <d v="2026-07-07T00:00:00"/>
    <x v="91"/>
    <d v="2026-07-21T00:00:00"/>
    <d v="2026-07-30T00:00:00"/>
    <d v="2026-07-21T00:00:00"/>
    <n v="1"/>
    <n v="1"/>
    <n v="100"/>
    <s v="SEM 31"/>
    <s v="Jul-2026"/>
    <x v="0"/>
    <n v="9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1803"/>
    <s v="CEMENT,IRON &amp; STEEL,"/>
    <s v="4519886392"/>
    <n v="3"/>
    <s v="Standard"/>
    <s v="X"/>
    <d v="2026-07-12T00:00:00"/>
    <x v="7"/>
    <d v="2026-08-03T00:00:00"/>
    <d v="2026-08-04T00:00:00"/>
    <d v="2026-08-03T00:00:00"/>
    <n v="1"/>
    <n v="1"/>
    <n v="100"/>
    <s v="SEM 32"/>
    <s v="Aug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2511"/>
    <s v="BAR,STL ASTM A36,FLA"/>
    <s v="4519231698"/>
    <n v="8"/>
    <s v="Standard"/>
    <s v="X"/>
    <d v="2026-02-23T00:00:00"/>
    <x v="92"/>
    <d v="2026-03-12T00:00:00"/>
    <d v="2026-03-18T00:00:00"/>
    <d v="2026-03-12T00:00:00"/>
    <n v="1"/>
    <n v="1"/>
    <n v="100"/>
    <s v="SEM 12"/>
    <s v="Mar-2026"/>
    <x v="0"/>
    <n v="6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2511"/>
    <s v="BAR,STL ASTM A36,FLA"/>
    <s v="4519735076"/>
    <n v="4"/>
    <s v="Standard"/>
    <s v="X"/>
    <d v="2026-06-12T00:00:00"/>
    <x v="93"/>
    <d v="2026-07-17T00:00:00"/>
    <d v="2026-07-04T00:00:00"/>
    <d v="2026-07-17T00:00:00"/>
    <n v="1"/>
    <n v="0"/>
    <n v="0"/>
    <s v="SEM 27"/>
    <s v="Jul-2026"/>
    <x v="0"/>
    <n v="-13"/>
    <x v="1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2511"/>
    <s v="BAR,STL ASTM A36,FLA"/>
    <s v="4519808878"/>
    <n v="4"/>
    <s v="Standard"/>
    <s v="X"/>
    <d v="2026-06-26T00:00:00"/>
    <x v="94"/>
    <d v="2026-07-08T00:00:00"/>
    <d v="2026-07-19T00:00:00"/>
    <d v="2026-07-08T00:00:00"/>
    <n v="1"/>
    <n v="1"/>
    <n v="100"/>
    <s v="SEM 30"/>
    <s v="Jul-2026"/>
    <x v="0"/>
    <n v="1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2937"/>
    <s v="FILTER-LUBRICATOR,AI"/>
    <s v="4518356319"/>
    <n v="5"/>
    <s v="Standard"/>
    <s v="X"/>
    <d v="2025-08-04T00:00:00"/>
    <x v="95"/>
    <d v="2026-01-02T00:00:00"/>
    <d v="2026-01-19T00:00:00"/>
    <d v="2026-01-02T00:00:00"/>
    <n v="1"/>
    <n v="1"/>
    <n v="100"/>
    <s v="SEM 4"/>
    <s v="Jan-2026"/>
    <x v="0"/>
    <n v="17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2937"/>
    <s v="FILTER-LUBRICATOR,AI"/>
    <s v="4518806826"/>
    <n v="4"/>
    <s v="Standard"/>
    <s v="X"/>
    <d v="2025-11-12T00:00:00"/>
    <x v="96"/>
    <d v="2026-02-02T00:00:00"/>
    <d v="2026-02-09T00:00:00"/>
    <d v="2026-02-02T00:00:00"/>
    <n v="1"/>
    <n v="1"/>
    <n v="100"/>
    <s v="SEM 7"/>
    <s v="Feb-2026"/>
    <x v="0"/>
    <n v="7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2937"/>
    <s v="FILTER-LUBRICATOR,AI"/>
    <s v="4519158504"/>
    <n v="3"/>
    <s v="Standard"/>
    <s v="X"/>
    <d v="2026-02-06T00:00:00"/>
    <x v="97"/>
    <d v="2026-03-03T00:00:00"/>
    <d v="2026-03-11T00:00:00"/>
    <d v="2026-03-03T00:00:00"/>
    <n v="1"/>
    <n v="1"/>
    <n v="100"/>
    <s v="SEM 11"/>
    <s v="Mar-2026"/>
    <x v="0"/>
    <n v="8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2937"/>
    <s v="FILTER-LUBRICATOR,AI"/>
    <s v="4519429064"/>
    <n v="9"/>
    <s v="Standard"/>
    <s v="X"/>
    <d v="2026-04-08T00:00:00"/>
    <x v="70"/>
    <d v="2026-06-01T00:00:00"/>
    <d v="2026-06-08T00:00:00"/>
    <d v="2026-06-01T00:00:00"/>
    <n v="1"/>
    <n v="1"/>
    <n v="100"/>
    <s v="SEM 24"/>
    <s v="Jun-2026"/>
    <x v="0"/>
    <n v="7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4098"/>
    <s v="PUTTY,EPOXY,GRY,87 S"/>
    <s v="4518685029"/>
    <n v="1000"/>
    <s v="Standard"/>
    <s v="X"/>
    <d v="2025-10-16T00:00:00"/>
    <x v="98"/>
    <d v="2025-11-28T00:00:00"/>
    <d v="2026-01-30T00:00:00"/>
    <d v="2025-11-28T00:00:00"/>
    <n v="1"/>
    <n v="1"/>
    <n v="100"/>
    <s v="SEM 5"/>
    <s v="Jan-2026"/>
    <x v="0"/>
    <n v="6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4098"/>
    <s v="PUTTY,EPOXY,GRY,87 S"/>
    <s v="4519055665"/>
    <n v="1000"/>
    <s v="Standard"/>
    <s v="X"/>
    <d v="2026-01-13T00:00:00"/>
    <x v="99"/>
    <d v="2026-02-03T00:00:00"/>
    <d v="2026-02-10T00:00:00"/>
    <d v="2026-02-03T00:00:00"/>
    <n v="1"/>
    <n v="1"/>
    <n v="100"/>
    <s v="SEM 7"/>
    <s v="Feb-2026"/>
    <x v="0"/>
    <n v="7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4098"/>
    <s v="PUTTY,EPOXY,GRY,87 S"/>
    <s v="4519122565"/>
    <n v="100"/>
    <s v="Standard"/>
    <s v="X"/>
    <d v="2026-01-29T00:00:00"/>
    <x v="87"/>
    <d v="2026-02-06T00:00:00"/>
    <d v="2026-02-14T00:00:00"/>
    <d v="2026-02-06T00:00:00"/>
    <n v="1"/>
    <n v="1"/>
    <n v="100"/>
    <s v="SEM 9"/>
    <s v="Feb-2026"/>
    <x v="0"/>
    <n v="17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4098"/>
    <s v="PUTTY,EPOXY,GRY,87 S"/>
    <s v="4519158774"/>
    <n v="1000"/>
    <s v="Standard"/>
    <s v="X"/>
    <d v="2026-02-06T00:00:00"/>
    <x v="100"/>
    <d v="2026-03-03T00:00:00"/>
    <d v="2026-03-06T00:00:00"/>
    <d v="2026-03-03T00:00:00"/>
    <n v="1"/>
    <n v="1"/>
    <n v="100"/>
    <s v="SEM 10"/>
    <s v="Mar-2026"/>
    <x v="0"/>
    <n v="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4098"/>
    <s v="PUTTY,EPOXY,GRY,87 S"/>
    <s v="4519235956"/>
    <n v="1000"/>
    <s v="Standard"/>
    <s v="X"/>
    <d v="2026-02-24T00:00:00"/>
    <x v="101"/>
    <d v="2026-03-03T00:00:00"/>
    <d v="2026-03-24T00:00:00"/>
    <d v="2026-02-24T00:00:00"/>
    <n v="1"/>
    <n v="1"/>
    <n v="100"/>
    <s v="SEM 13"/>
    <s v="Mar-2026"/>
    <x v="0"/>
    <n v="2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4098"/>
    <s v="PUTTY,EPOXY,GRY,87 S"/>
    <s v="4519299211"/>
    <n v="1000"/>
    <s v="Standard"/>
    <s v="X"/>
    <d v="2026-03-11T00:00:00"/>
    <x v="102"/>
    <d v="2026-04-02T00:00:00"/>
    <d v="2026-04-08T00:00:00"/>
    <d v="2026-04-02T00:00:00"/>
    <n v="1"/>
    <n v="1"/>
    <n v="100"/>
    <s v="SEM 15"/>
    <s v="Apr-2026"/>
    <x v="0"/>
    <n v="6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4098"/>
    <s v="PUTTY,EPOXY,GRY,87 S"/>
    <s v="4519400221"/>
    <n v="1000"/>
    <s v="Standard"/>
    <s v="X"/>
    <d v="2026-04-02T00:00:00"/>
    <x v="103"/>
    <d v="2026-04-14T00:00:00"/>
    <d v="2026-04-29T00:00:00"/>
    <d v="2026-04-14T00:00:00"/>
    <n v="1"/>
    <n v="1"/>
    <n v="100"/>
    <s v="SEM 18"/>
    <s v="Apr-2026"/>
    <x v="0"/>
    <n v="15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4098"/>
    <s v="PUTTY,EPOXY,GRY,87 S"/>
    <s v="4519469786"/>
    <n v="500"/>
    <s v="Standard"/>
    <s v="X"/>
    <d v="2026-04-17T00:00:00"/>
    <x v="24"/>
    <d v="2026-05-06T00:00:00"/>
    <d v="2026-05-14T00:00:00"/>
    <d v="2026-05-06T00:00:00"/>
    <n v="1"/>
    <n v="1"/>
    <n v="100"/>
    <s v="SEM 20"/>
    <s v="May-2026"/>
    <x v="0"/>
    <n v="8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4098"/>
    <s v="PUTTY,EPOXY,GRY,87 S"/>
    <s v="4519493011"/>
    <n v="1500"/>
    <s v="Standard"/>
    <s v="X"/>
    <d v="2026-04-22T00:00:00"/>
    <x v="62"/>
    <d v="2026-06-04T00:00:00"/>
    <d v="2026-05-19T00:00:00"/>
    <d v="2026-04-22T00:00:00"/>
    <n v="1"/>
    <n v="0"/>
    <n v="0"/>
    <s v="SEM 21"/>
    <s v="May-2026"/>
    <x v="0"/>
    <n v="-16"/>
    <x v="1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4098"/>
    <s v="PUTTY,EPOXY,GRY,87 S"/>
    <s v="4519591865"/>
    <n v="1000"/>
    <s v="Standard"/>
    <s v="X"/>
    <d v="2026-05-13T00:00:00"/>
    <x v="35"/>
    <d v="2026-06-04T00:00:00"/>
    <d v="2026-06-10T00:00:00"/>
    <d v="2026-06-04T00:00:00"/>
    <n v="1"/>
    <n v="1"/>
    <n v="100"/>
    <s v="SEM 24"/>
    <s v="Jun-2026"/>
    <x v="0"/>
    <n v="6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4098"/>
    <s v="PUTTY,EPOXY,GRY,87 S"/>
    <s v="4519706451"/>
    <n v="2000"/>
    <s v="Standard"/>
    <s v="X"/>
    <d v="2026-06-06T00:00:00"/>
    <x v="18"/>
    <d v="2026-08-14T00:00:00"/>
    <d v="2026-07-03T00:00:00"/>
    <d v="2026-06-08T00:00:00"/>
    <n v="1"/>
    <n v="0"/>
    <n v="0"/>
    <s v="SEM 27"/>
    <s v="Jul-2026"/>
    <x v="0"/>
    <n v="-42"/>
    <x v="1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4098"/>
    <s v="PUTTY,EPOXY,GRY,87 S"/>
    <s v="4519893160"/>
    <n v="1500"/>
    <s v="Standard"/>
    <s v="X"/>
    <d v="2026-07-14T00:00:00"/>
    <x v="9"/>
    <d v="2026-08-04T00:00:00"/>
    <d v="2026-08-11T00:00:00"/>
    <d v="2026-08-04T00:00:00"/>
    <n v="1"/>
    <n v="1"/>
    <n v="100"/>
    <s v="SEM 33"/>
    <s v="Aug-2026"/>
    <x v="0"/>
    <n v="7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4098"/>
    <s v="PUTTY,EPOXY,GRY,87 S"/>
    <s v="4519951488"/>
    <n v="1000"/>
    <s v="Standard"/>
    <s v="#"/>
    <d v="2026-07-26T00:00:00"/>
    <x v="104"/>
    <s v="#"/>
    <d v="2026-08-23T00:00:00"/>
    <d v="2026-07-26T00:00:00"/>
    <n v="1"/>
    <n v="0"/>
    <n v="0"/>
    <s v="SEM 35"/>
    <s v="Aug-2026"/>
    <x v="2"/>
    <n v="5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4098"/>
    <s v="PUTTY,EPOXY,GRY,87 S"/>
    <s v="4519962313"/>
    <n v="1500"/>
    <s v="Standard"/>
    <s v="#"/>
    <d v="2026-07-28T00:00:00"/>
    <x v="105"/>
    <s v="#"/>
    <d v="2026-08-25T00:00:00"/>
    <d v="2026-07-28T00:00:00"/>
    <n v="1"/>
    <n v="0"/>
    <n v="0"/>
    <s v="SEM 35"/>
    <s v="Aug-2026"/>
    <x v="2"/>
    <n v="7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4098"/>
    <s v="PUTTY,EPOXY,GRY,87 S"/>
    <s v="4519982052"/>
    <n v="10"/>
    <s v="Standard"/>
    <s v="#"/>
    <d v="2026-08-01T00:00:00"/>
    <x v="82"/>
    <s v="#"/>
    <d v="2026-08-29T00:00:00"/>
    <d v="2026-08-01T00:00:00"/>
    <n v="1"/>
    <n v="0"/>
    <n v="0"/>
    <s v="SEM 35"/>
    <s v="Aug-2026"/>
    <x v="2"/>
    <n v="1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7319"/>
    <s v="SPLICE,COND,3/0AWG,3"/>
    <s v="4519010793"/>
    <n v="15"/>
    <s v="Standard"/>
    <s v="X"/>
    <d v="2026-01-03T00:00:00"/>
    <x v="85"/>
    <d v="2026-02-02T00:00:00"/>
    <d v="2026-02-04T00:00:00"/>
    <d v="2026-02-02T00:00:00"/>
    <n v="1"/>
    <n v="1"/>
    <n v="100"/>
    <s v="SEM 6"/>
    <s v="Feb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7794"/>
    <s v="CEMENT,IRON &amp; STEEL,"/>
    <s v="4519216705"/>
    <n v="16"/>
    <s v="Standard"/>
    <s v="X"/>
    <d v="2026-02-19T00:00:00"/>
    <x v="106"/>
    <d v="2026-03-11T00:00:00"/>
    <d v="2026-03-19T00:00:00"/>
    <d v="2026-03-11T00:00:00"/>
    <n v="1"/>
    <n v="1"/>
    <n v="100"/>
    <s v="SEM 12"/>
    <s v="Mar-2026"/>
    <x v="0"/>
    <n v="8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7794"/>
    <s v="CEMENT,IRON &amp; STEEL,"/>
    <s v="4519271827"/>
    <n v="10"/>
    <s v="Standard"/>
    <s v="X"/>
    <d v="2026-03-04T00:00:00"/>
    <x v="107"/>
    <d v="2026-04-01T00:00:00"/>
    <d v="2026-04-01T00:00:00"/>
    <d v="2026-04-01T00:00:00"/>
    <n v="1"/>
    <n v="1"/>
    <n v="100"/>
    <s v="SEM 14"/>
    <s v="Apr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7794"/>
    <s v="CEMENT,IRON &amp; STEEL,"/>
    <s v="4519276904"/>
    <n v="10"/>
    <s v="Standard"/>
    <s v="X"/>
    <d v="2026-03-05T00:00:00"/>
    <x v="108"/>
    <d v="2026-05-08T00:00:00"/>
    <d v="2026-04-02T00:00:00"/>
    <d v="2026-05-08T00:00:00"/>
    <n v="1"/>
    <n v="0"/>
    <n v="0"/>
    <s v="SEM 14"/>
    <s v="Apr-2026"/>
    <x v="0"/>
    <n v="-36"/>
    <x v="1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7794"/>
    <s v="CEMENT,IRON &amp; STEEL,"/>
    <s v="4519563787"/>
    <n v="10"/>
    <s v="Standard"/>
    <s v="X"/>
    <d v="2026-05-07T00:00:00"/>
    <x v="109"/>
    <d v="2026-06-01T00:00:00"/>
    <d v="2026-06-04T00:00:00"/>
    <d v="2026-06-01T00:00:00"/>
    <n v="1"/>
    <n v="1"/>
    <n v="100"/>
    <s v="SEM 23"/>
    <s v="Jun-2026"/>
    <x v="0"/>
    <n v="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7794"/>
    <s v="CEMENT,IRON &amp; STEEL,"/>
    <s v="4519763103"/>
    <n v="10"/>
    <s v="Standard"/>
    <s v="X"/>
    <d v="2026-06-18T00:00:00"/>
    <x v="19"/>
    <d v="2026-07-03T00:00:00"/>
    <d v="2026-07-15T00:00:00"/>
    <d v="2026-07-03T00:00:00"/>
    <n v="1"/>
    <n v="1"/>
    <n v="100"/>
    <s v="SEM 29"/>
    <s v="Jul-2026"/>
    <x v="0"/>
    <n v="1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7794"/>
    <s v="CEMENT,IRON &amp; STEEL,"/>
    <s v="4519767713"/>
    <n v="11"/>
    <s v="Standard"/>
    <s v="X"/>
    <d v="2026-06-18T00:00:00"/>
    <x v="110"/>
    <d v="2026-07-03T00:00:00"/>
    <d v="2026-07-16T00:00:00"/>
    <d v="2026-07-03T00:00:00"/>
    <n v="1"/>
    <n v="1"/>
    <n v="100"/>
    <s v="SEM 29"/>
    <s v="Jul-2026"/>
    <x v="0"/>
    <n v="1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7825"/>
    <s v="FILTER ELEMENT,AIRCO"/>
    <s v="4518875079"/>
    <n v="96"/>
    <s v="Standard"/>
    <s v="X"/>
    <d v="2025-11-29T00:00:00"/>
    <x v="111"/>
    <d v="2025-12-16T00:00:00"/>
    <d v="2026-01-01T00:00:00"/>
    <d v="2025-12-16T00:00:00"/>
    <n v="1"/>
    <n v="1"/>
    <n v="100"/>
    <s v="SEM 1"/>
    <s v="Jan-2026"/>
    <x v="0"/>
    <n v="16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7825"/>
    <s v="FILTER ELEMENT,AIRCO"/>
    <s v="4518985980"/>
    <n v="96"/>
    <s v="Standard"/>
    <s v="X"/>
    <d v="2025-12-27T00:00:00"/>
    <x v="112"/>
    <d v="2026-01-20T00:00:00"/>
    <d v="2026-01-29T00:00:00"/>
    <d v="2026-01-20T00:00:00"/>
    <n v="1"/>
    <n v="1"/>
    <n v="100"/>
    <s v="SEM 5"/>
    <s v="Jan-2026"/>
    <x v="0"/>
    <n v="9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7825"/>
    <s v="FILTER ELEMENT,AIRCO"/>
    <s v="4519127355"/>
    <n v="96"/>
    <s v="Standard"/>
    <s v="X"/>
    <d v="2026-01-30T00:00:00"/>
    <x v="4"/>
    <d v="2026-03-02T00:00:00"/>
    <d v="2026-03-04T00:00:00"/>
    <d v="2026-03-02T00:00:00"/>
    <n v="1"/>
    <n v="1"/>
    <n v="100"/>
    <s v="SEM 10"/>
    <s v="Mar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7825"/>
    <s v="FILTER ELEMENT,AIRCO"/>
    <s v="4519137674"/>
    <n v="11"/>
    <s v="Standard"/>
    <s v="X"/>
    <d v="2026-02-02T00:00:00"/>
    <x v="73"/>
    <d v="2026-03-02T00:00:00"/>
    <d v="2026-03-07T00:00:00"/>
    <d v="2026-03-02T00:00:00"/>
    <n v="1"/>
    <n v="1"/>
    <n v="100"/>
    <s v="SEM 10"/>
    <s v="Mar-2026"/>
    <x v="0"/>
    <n v="5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7825"/>
    <s v="FILTER ELEMENT,AIRCO"/>
    <s v="4519351309"/>
    <n v="67"/>
    <s v="Standard"/>
    <s v="X"/>
    <d v="2026-03-22T00:00:00"/>
    <x v="113"/>
    <d v="2026-04-01T00:00:00"/>
    <d v="2026-04-24T00:00:00"/>
    <d v="2026-04-01T00:00:00"/>
    <n v="1"/>
    <n v="1"/>
    <n v="100"/>
    <s v="SEM 17"/>
    <s v="Apr-2026"/>
    <x v="0"/>
    <n v="2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7825"/>
    <s v="FILTER ELEMENT,AIRCO"/>
    <s v="4519411123"/>
    <n v="279"/>
    <s v="Standard"/>
    <s v="X"/>
    <d v="2026-04-04T00:00:00"/>
    <x v="114"/>
    <d v="2026-05-06T00:00:00"/>
    <d v="2026-05-07T00:00:00"/>
    <d v="2026-05-06T00:00:00"/>
    <n v="1"/>
    <n v="1"/>
    <n v="100"/>
    <s v="SEM 19"/>
    <s v="May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7825"/>
    <s v="FILTER ELEMENT,AIRCO"/>
    <s v="4519424697"/>
    <n v="84"/>
    <s v="Standard"/>
    <s v="X"/>
    <d v="2026-04-07T00:00:00"/>
    <x v="115"/>
    <d v="2026-05-06T00:00:00"/>
    <d v="2026-05-10T00:00:00"/>
    <d v="2026-05-06T00:00:00"/>
    <n v="1"/>
    <n v="1"/>
    <n v="100"/>
    <s v="SEM 20"/>
    <s v="May-2026"/>
    <x v="0"/>
    <n v="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7825"/>
    <s v="FILTER ELEMENT,AIRCO"/>
    <s v="4519716860"/>
    <n v="42"/>
    <s v="Standard"/>
    <s v="X"/>
    <d v="2026-06-08T00:00:00"/>
    <x v="116"/>
    <d v="2026-07-01T00:00:00"/>
    <d v="2026-07-11T00:00:00"/>
    <d v="2026-07-01T00:00:00"/>
    <n v="1"/>
    <n v="1"/>
    <n v="100"/>
    <s v="SEM 28"/>
    <s v="Jul-2026"/>
    <x v="0"/>
    <n v="1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7825"/>
    <s v="FILTER ELEMENT,AIRCO"/>
    <s v="4519741428"/>
    <n v="96"/>
    <s v="Standard"/>
    <s v="X"/>
    <d v="2026-06-13T00:00:00"/>
    <x v="110"/>
    <d v="2026-07-03T00:00:00"/>
    <d v="2026-07-16T00:00:00"/>
    <d v="2026-07-03T00:00:00"/>
    <n v="1"/>
    <n v="1"/>
    <n v="100"/>
    <s v="SEM 29"/>
    <s v="Jul-2026"/>
    <x v="0"/>
    <n v="1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7825"/>
    <s v="FILTER ELEMENT,AIRCO"/>
    <s v="4519744483"/>
    <n v="49"/>
    <s v="Standard"/>
    <s v="X"/>
    <d v="2026-06-14T00:00:00"/>
    <x v="117"/>
    <d v="2026-07-01T00:00:00"/>
    <d v="2026-07-17T00:00:00"/>
    <d v="2026-07-01T00:00:00"/>
    <n v="1"/>
    <n v="1"/>
    <n v="100"/>
    <s v="SEM 29"/>
    <s v="Jul-2026"/>
    <x v="0"/>
    <n v="16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7825"/>
    <s v="FILTER ELEMENT,AIRCO"/>
    <s v="4519826128"/>
    <n v="24"/>
    <s v="Standard"/>
    <s v="X"/>
    <d v="2026-06-30T00:00:00"/>
    <x v="38"/>
    <d v="2026-07-21T00:00:00"/>
    <d v="2026-08-02T00:00:00"/>
    <d v="2026-07-21T00:00:00"/>
    <n v="1"/>
    <n v="1"/>
    <n v="100"/>
    <s v="SEM 32"/>
    <s v="Aug-2026"/>
    <x v="0"/>
    <n v="1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7825"/>
    <s v="FILTER ELEMENT,AIRCO"/>
    <s v="4519931167"/>
    <n v="96"/>
    <s v="Standard"/>
    <s v="X"/>
    <d v="2026-07-21T00:00:00"/>
    <x v="104"/>
    <d v="2026-08-10T00:00:00"/>
    <d v="2026-08-23T00:00:00"/>
    <d v="2026-08-10T00:00:00"/>
    <n v="1"/>
    <n v="1"/>
    <n v="100"/>
    <s v="SEM 35"/>
    <s v="Aug-2026"/>
    <x v="0"/>
    <n v="1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7825"/>
    <s v="FILTER ELEMENT,AIRCO"/>
    <s v="4519946984"/>
    <n v="29"/>
    <s v="Standard"/>
    <s v="X"/>
    <d v="2026-07-24T00:00:00"/>
    <x v="118"/>
    <d v="2026-08-10T00:00:00"/>
    <d v="2026-08-26T00:00:00"/>
    <d v="2026-08-10T00:00:00"/>
    <n v="1"/>
    <n v="1"/>
    <n v="100"/>
    <s v="SEM 35"/>
    <s v="Aug-2026"/>
    <x v="0"/>
    <n v="16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7825"/>
    <s v="FILTER ELEMENT,AIRCO"/>
    <s v="4520026063"/>
    <n v="96"/>
    <s v="Standard"/>
    <s v="#"/>
    <d v="2026-08-10T00:00:00"/>
    <x v="119"/>
    <s v="#"/>
    <d v="2026-09-12T00:00:00"/>
    <d v="2026-08-10T00:00:00"/>
    <n v="1"/>
    <n v="0"/>
    <n v="0"/>
    <s v="SEM 37"/>
    <s v="Sep-2026"/>
    <x v="2"/>
    <n v="25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242"/>
    <s v="ROPE,FIBROUS,1/2IN D"/>
    <s v="4518959957"/>
    <n v="3200"/>
    <s v="Standard"/>
    <s v="X"/>
    <d v="2025-12-19T00:00:00"/>
    <x v="42"/>
    <d v="2026-01-09T00:00:00"/>
    <d v="2026-01-11T00:00:00"/>
    <d v="2026-01-09T00:00:00"/>
    <n v="1"/>
    <n v="1"/>
    <n v="100"/>
    <s v="SEM 3"/>
    <s v="Jan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242"/>
    <s v="ROPE,FIBROUS,1/2IN D"/>
    <s v="4519055413"/>
    <n v="2400"/>
    <s v="Standard"/>
    <s v="X"/>
    <d v="2026-01-13T00:00:00"/>
    <x v="120"/>
    <d v="2026-02-02T00:00:00"/>
    <d v="2026-02-05T00:00:00"/>
    <d v="2026-02-02T00:00:00"/>
    <n v="1"/>
    <n v="1"/>
    <n v="100"/>
    <s v="SEM 6"/>
    <s v="Feb-2026"/>
    <x v="0"/>
    <n v="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242"/>
    <s v="ROPE,FIBROUS,1/2IN D"/>
    <s v="4519084779"/>
    <n v="2400"/>
    <s v="Standard"/>
    <s v="X"/>
    <d v="2026-01-20T00:00:00"/>
    <x v="121"/>
    <d v="2026-02-04T00:00:00"/>
    <d v="2026-02-12T00:00:00"/>
    <d v="2026-02-04T00:00:00"/>
    <n v="1"/>
    <n v="1"/>
    <n v="100"/>
    <s v="SEM 7"/>
    <s v="Feb-2026"/>
    <x v="0"/>
    <n v="8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242"/>
    <s v="ROPE,FIBROUS,1/2IN D"/>
    <s v="4519173821"/>
    <n v="2400"/>
    <s v="Standard"/>
    <s v="X"/>
    <d v="2026-02-10T00:00:00"/>
    <x v="122"/>
    <d v="2026-03-02T00:00:00"/>
    <d v="2026-03-05T00:00:00"/>
    <d v="2026-03-02T00:00:00"/>
    <n v="1"/>
    <n v="1"/>
    <n v="100"/>
    <s v="SEM 10"/>
    <s v="Mar-2026"/>
    <x v="0"/>
    <n v="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242"/>
    <s v="ROPE,FIBROUS,1/2IN D"/>
    <s v="4519251221"/>
    <n v="2400"/>
    <s v="Standard"/>
    <s v="X"/>
    <d v="2026-02-27T00:00:00"/>
    <x v="123"/>
    <d v="2026-03-20T00:00:00"/>
    <d v="2026-03-22T00:00:00"/>
    <d v="2026-03-20T00:00:00"/>
    <n v="1"/>
    <n v="1"/>
    <n v="100"/>
    <s v="SEM 13"/>
    <s v="Mar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242"/>
    <s v="ROPE,FIBROUS,1/2IN D"/>
    <s v="4519299842"/>
    <n v="2400"/>
    <s v="Standard"/>
    <s v="X"/>
    <d v="2026-03-11T00:00:00"/>
    <x v="124"/>
    <d v="2026-04-01T00:00:00"/>
    <d v="2026-04-03T00:00:00"/>
    <d v="2026-04-01T00:00:00"/>
    <n v="1"/>
    <n v="1"/>
    <n v="100"/>
    <s v="SEM 14"/>
    <s v="Apr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242"/>
    <s v="ROPE,FIBROUS,1/2IN D"/>
    <s v="4519314586"/>
    <n v="2400"/>
    <s v="Standard"/>
    <s v="X"/>
    <d v="2026-03-13T00:00:00"/>
    <x v="69"/>
    <d v="2026-04-02T00:00:00"/>
    <d v="2026-04-05T00:00:00"/>
    <d v="2026-04-02T00:00:00"/>
    <n v="1"/>
    <n v="1"/>
    <n v="100"/>
    <s v="SEM 15"/>
    <s v="Apr-2026"/>
    <x v="0"/>
    <n v="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242"/>
    <s v="ROPE,FIBROUS,1/2IN D"/>
    <s v="4519342232"/>
    <n v="2400"/>
    <s v="Standard"/>
    <s v="X"/>
    <d v="2026-03-19T00:00:00"/>
    <x v="75"/>
    <d v="2026-04-09T00:00:00"/>
    <d v="2026-08-09T00:00:00"/>
    <d v="2026-04-10T00:00:00"/>
    <n v="1"/>
    <n v="1"/>
    <n v="100"/>
    <s v="SEM 33"/>
    <s v="Aug-2026"/>
    <x v="0"/>
    <n v="12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242"/>
    <s v="ROPE,FIBROUS,1/2IN D"/>
    <s v="4519486387"/>
    <n v="2400"/>
    <s v="Standard"/>
    <s v="X"/>
    <d v="2026-04-20T00:00:00"/>
    <x v="125"/>
    <d v="2026-05-11T00:00:00"/>
    <d v="2026-05-11T00:00:00"/>
    <d v="2026-05-11T00:00:00"/>
    <n v="1"/>
    <n v="1"/>
    <n v="100"/>
    <s v="SEM 20"/>
    <s v="May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242"/>
    <s v="ROPE,FIBROUS,1/2IN D"/>
    <s v="4519492379"/>
    <n v="3200"/>
    <s v="Standard"/>
    <s v="X"/>
    <d v="2026-04-21T00:00:00"/>
    <x v="125"/>
    <d v="2026-05-08T00:00:00"/>
    <d v="2026-05-09T00:00:00"/>
    <d v="2026-05-08T00:00:00"/>
    <n v="1"/>
    <n v="1"/>
    <n v="100"/>
    <s v="SEM 20"/>
    <s v="May-2026"/>
    <x v="0"/>
    <n v="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242"/>
    <s v="ROPE,FIBROUS,1/2IN D"/>
    <s v="4519574503"/>
    <n v="2400"/>
    <s v="Standard"/>
    <s v="X"/>
    <d v="2026-05-10T00:00:00"/>
    <x v="126"/>
    <d v="2026-06-01T00:00:00"/>
    <d v="2026-06-01T00:00:00"/>
    <d v="2026-06-01T00:00:00"/>
    <n v="1"/>
    <n v="1"/>
    <n v="100"/>
    <s v="SEM 23"/>
    <s v="Jun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242"/>
    <s v="ROPE,FIBROUS,1/2IN D"/>
    <s v="4519738960"/>
    <n v="3000"/>
    <s v="Standard"/>
    <s v="X"/>
    <d v="2026-06-12T00:00:00"/>
    <x v="37"/>
    <d v="2026-07-01T00:00:00"/>
    <d v="2026-07-05T00:00:00"/>
    <d v="2026-07-01T00:00:00"/>
    <n v="1"/>
    <n v="1"/>
    <n v="100"/>
    <s v="SEM 28"/>
    <s v="Jul-2026"/>
    <x v="0"/>
    <n v="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242"/>
    <s v="ROPE,FIBROUS,1/2IN D"/>
    <s v="4519870425"/>
    <n v="2400"/>
    <s v="Standard"/>
    <s v="X"/>
    <d v="2026-07-08T00:00:00"/>
    <x v="23"/>
    <d v="2026-07-15T00:00:00"/>
    <d v="2026-07-31T00:00:00"/>
    <d v="2026-07-15T00:00:00"/>
    <n v="1"/>
    <n v="1"/>
    <n v="100"/>
    <s v="SEM 31"/>
    <s v="Jul-2026"/>
    <x v="0"/>
    <n v="16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242"/>
    <s v="ROPE,FIBROUS,1/2IN D"/>
    <s v="4519908918"/>
    <n v="2400"/>
    <s v="Standard"/>
    <s v="X"/>
    <d v="2026-07-16T00:00:00"/>
    <x v="127"/>
    <d v="2026-08-05T00:00:00"/>
    <d v="2026-08-08T00:00:00"/>
    <d v="2026-08-05T00:00:00"/>
    <n v="1"/>
    <n v="1"/>
    <n v="100"/>
    <s v="SEM 32"/>
    <s v="Aug-2026"/>
    <x v="0"/>
    <n v="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242"/>
    <s v="ROPE,FIBROUS,1/2IN D"/>
    <s v="4519979123"/>
    <n v="2400"/>
    <s v="Standard"/>
    <s v="X"/>
    <d v="2026-07-31T00:00:00"/>
    <x v="104"/>
    <d v="2026-08-10T00:00:00"/>
    <d v="2026-08-23T00:00:00"/>
    <d v="2026-08-10T00:00:00"/>
    <n v="1"/>
    <n v="1"/>
    <n v="100"/>
    <s v="SEM 35"/>
    <s v="Aug-2026"/>
    <x v="0"/>
    <n v="1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242"/>
    <s v="ROPE,FIBROUS,1/2IN D"/>
    <s v="4520014156"/>
    <n v="6800"/>
    <s v="Standard"/>
    <s v="#"/>
    <d v="2026-08-07T00:00:00"/>
    <x v="128"/>
    <s v="#"/>
    <d v="2026-08-30T00:00:00"/>
    <d v="2026-08-07T00:00:00"/>
    <n v="1"/>
    <n v="0"/>
    <n v="0"/>
    <s v="SEM 36"/>
    <s v="Aug-2026"/>
    <x v="2"/>
    <n v="1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322"/>
    <s v="GREASE,SYN,CHAIN DRV"/>
    <s v="4519696325"/>
    <n v="32"/>
    <s v="Standard"/>
    <s v="X"/>
    <d v="2026-06-04T00:00:00"/>
    <x v="93"/>
    <d v="2026-07-03T00:00:00"/>
    <d v="2026-07-04T00:00:00"/>
    <d v="2026-07-03T00:00:00"/>
    <n v="1"/>
    <n v="1"/>
    <n v="100"/>
    <s v="SEM 27"/>
    <s v="Jul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322"/>
    <s v="GREASE,SYN,CHAIN DRV"/>
    <s v="4519716326"/>
    <n v="40"/>
    <s v="Standard"/>
    <s v="X"/>
    <d v="2026-06-08T00:00:00"/>
    <x v="6"/>
    <d v="2026-07-08T00:00:00"/>
    <d v="2026-07-09T00:00:00"/>
    <d v="2026-07-08T00:00:00"/>
    <n v="1"/>
    <n v="1"/>
    <n v="100"/>
    <s v="SEM 28"/>
    <s v="Jul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322"/>
    <s v="GREASE,SYN,CHAIN DRV"/>
    <s v="4519903541"/>
    <n v="20"/>
    <s v="Standard"/>
    <s v="X"/>
    <d v="2026-07-15T00:00:00"/>
    <x v="129"/>
    <d v="2026-08-10T00:00:00"/>
    <d v="2026-08-15T00:00:00"/>
    <d v="2026-08-10T00:00:00"/>
    <n v="1"/>
    <n v="1"/>
    <n v="100"/>
    <s v="SEM 33"/>
    <s v="Aug-2026"/>
    <x v="0"/>
    <n v="5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325"/>
    <s v="BELT DRESSING COMPOU"/>
    <s v="4519099432"/>
    <n v="41"/>
    <s v="Standard"/>
    <s v="X"/>
    <d v="2026-01-23T00:00:00"/>
    <x v="130"/>
    <d v="2026-02-13T00:00:00"/>
    <d v="2026-02-15T00:00:00"/>
    <d v="2026-02-13T00:00:00"/>
    <n v="1"/>
    <n v="1"/>
    <n v="100"/>
    <s v="SEM 8"/>
    <s v="Feb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325"/>
    <s v="BELT DRESSING COMPOU"/>
    <s v="4519440211"/>
    <n v="56"/>
    <s v="Standard"/>
    <s v="X"/>
    <d v="2026-04-10T00:00:00"/>
    <x v="131"/>
    <d v="2026-04-24T00:00:00"/>
    <d v="2026-05-03T00:00:00"/>
    <d v="2026-04-24T00:00:00"/>
    <n v="1"/>
    <n v="1"/>
    <n v="100"/>
    <s v="SEM 19"/>
    <s v="May-2026"/>
    <x v="0"/>
    <n v="9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327"/>
    <s v="TAPE,ANTISEIZING,PTF"/>
    <s v="4519846367"/>
    <n v="70"/>
    <s v="Standard"/>
    <s v="X"/>
    <d v="2026-07-03T00:00:00"/>
    <x v="132"/>
    <d v="2026-07-24T00:00:00"/>
    <d v="2026-07-26T00:00:00"/>
    <d v="2026-07-24T00:00:00"/>
    <n v="1"/>
    <n v="1"/>
    <n v="100"/>
    <s v="SEM 31"/>
    <s v="Jul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327"/>
    <s v="TAPE,ANTISEIZING,PTF"/>
    <s v="4519913080"/>
    <n v="560"/>
    <s v="Standard"/>
    <s v="#"/>
    <d v="2026-07-17T00:00:00"/>
    <x v="75"/>
    <d v="2026-08-03T00:00:00"/>
    <d v="2026-08-09T00:00:00"/>
    <d v="2026-07-20T00:00:00"/>
    <n v="1"/>
    <n v="0"/>
    <n v="0"/>
    <s v="SEM 33"/>
    <s v="Aug-2026"/>
    <x v="1"/>
    <n v="-9"/>
    <x v="1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327"/>
    <s v="TAPE,ANTISEIZING,PTF"/>
    <s v="4519944294"/>
    <n v="70"/>
    <s v="Standard"/>
    <s v="X"/>
    <d v="2026-07-24T00:00:00"/>
    <x v="13"/>
    <d v="2026-08-05T00:00:00"/>
    <d v="2026-08-16T00:00:00"/>
    <d v="2026-08-05T00:00:00"/>
    <n v="1"/>
    <n v="1"/>
    <n v="100"/>
    <s v="SEM 34"/>
    <s v="Aug-2026"/>
    <x v="0"/>
    <n v="1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327"/>
    <s v="TAPE,ANTISEIZING,PTF"/>
    <s v="4519978504"/>
    <n v="70"/>
    <s v="Standard"/>
    <s v="#"/>
    <d v="2026-07-31T00:00:00"/>
    <x v="104"/>
    <s v="#"/>
    <d v="2026-08-23T00:00:00"/>
    <d v="2026-07-31T00:00:00"/>
    <n v="1"/>
    <n v="0"/>
    <n v="0"/>
    <s v="SEM 35"/>
    <s v="Aug-2026"/>
    <x v="2"/>
    <n v="5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327"/>
    <s v="TAPE,ANTISEIZING,PTF"/>
    <s v="4519981837"/>
    <n v="540"/>
    <s v="Standard"/>
    <s v="#"/>
    <d v="2026-08-01T00:00:00"/>
    <x v="133"/>
    <s v="#"/>
    <d v="2026-08-24T00:00:00"/>
    <d v="2026-08-01T00:00:00"/>
    <n v="1"/>
    <n v="0"/>
    <n v="0"/>
    <s v="SEM 35"/>
    <s v="Aug-2026"/>
    <x v="2"/>
    <n v="6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327"/>
    <s v="TAPE,ANTISEIZING,PTF"/>
    <s v="4520041931"/>
    <n v="70"/>
    <s v="Standard"/>
    <s v="#"/>
    <d v="2026-08-13T00:00:00"/>
    <x v="134"/>
    <s v="#"/>
    <d v="2026-09-05T00:00:00"/>
    <d v="2026-08-13T00:00:00"/>
    <n v="1"/>
    <n v="0"/>
    <n v="0"/>
    <s v="SEM 36"/>
    <s v="Sep-2026"/>
    <x v="2"/>
    <n v="18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329"/>
    <s v="ANTISEIZE,NI BASE,TI"/>
    <s v="4518969874"/>
    <n v="17"/>
    <s v="Standard"/>
    <s v="X"/>
    <d v="2025-12-22T00:00:00"/>
    <x v="33"/>
    <d v="2026-01-20T00:00:00"/>
    <d v="2026-01-22T00:00:00"/>
    <d v="2026-01-20T00:00:00"/>
    <n v="1"/>
    <n v="1"/>
    <n v="100"/>
    <s v="SEM 4"/>
    <s v="Jan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329"/>
    <s v="ANTISEIZE,NI BASE,TI"/>
    <s v="4519217242"/>
    <n v="16"/>
    <s v="Standard"/>
    <s v="X"/>
    <d v="2026-02-19T00:00:00"/>
    <x v="123"/>
    <d v="2026-03-02T00:00:00"/>
    <d v="2026-03-22T00:00:00"/>
    <d v="2026-03-02T00:00:00"/>
    <n v="1"/>
    <n v="1"/>
    <n v="100"/>
    <s v="SEM 13"/>
    <s v="Mar-2026"/>
    <x v="0"/>
    <n v="2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329"/>
    <s v="ANTISEIZE,NI BASE,TI"/>
    <s v="4519504617"/>
    <n v="34"/>
    <s v="Standard"/>
    <s v="X"/>
    <d v="2026-04-24T00:00:00"/>
    <x v="135"/>
    <d v="2026-06-01T00:00:00"/>
    <d v="2026-06-13T00:00:00"/>
    <d v="2026-06-01T00:00:00"/>
    <n v="1"/>
    <n v="1"/>
    <n v="100"/>
    <s v="SEM 24"/>
    <s v="Jun-2026"/>
    <x v="0"/>
    <n v="1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329"/>
    <s v="ANTISEIZE,NI BASE,TI"/>
    <s v="4519814293"/>
    <n v="15"/>
    <s v="Standard"/>
    <s v="X"/>
    <d v="2026-06-28T00:00:00"/>
    <x v="136"/>
    <d v="2026-07-13T00:00:00"/>
    <d v="2026-07-29T00:00:00"/>
    <d v="2026-07-13T00:00:00"/>
    <n v="1"/>
    <n v="1"/>
    <n v="100"/>
    <s v="SEM 31"/>
    <s v="Jul-2026"/>
    <x v="0"/>
    <n v="16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329"/>
    <s v="ANTISEIZE,NI BASE,TI"/>
    <s v="4520009413"/>
    <n v="20"/>
    <s v="Standard"/>
    <s v="#"/>
    <d v="2026-08-06T00:00:00"/>
    <x v="137"/>
    <s v="#"/>
    <d v="2026-09-06T00:00:00"/>
    <d v="2026-08-06T00:00:00"/>
    <n v="1"/>
    <n v="0"/>
    <n v="0"/>
    <s v="SEM 37"/>
    <s v="Sep-2026"/>
    <x v="2"/>
    <n v="19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354"/>
    <s v="CLAMP,HOSE,3IN ID HO"/>
    <s v="4518997216"/>
    <n v="7"/>
    <s v="Standard"/>
    <s v="X"/>
    <d v="2025-12-30T00:00:00"/>
    <x v="33"/>
    <d v="2026-01-09T00:00:00"/>
    <d v="2026-01-22T00:00:00"/>
    <d v="2026-01-09T00:00:00"/>
    <n v="1"/>
    <n v="1"/>
    <n v="100"/>
    <s v="SEM 4"/>
    <s v="Jan-2026"/>
    <x v="0"/>
    <n v="1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354"/>
    <s v="CLAMP,HOSE,3IN ID HO"/>
    <s v="4519063808"/>
    <n v="6"/>
    <s v="Standard"/>
    <s v="X"/>
    <d v="2026-01-15T00:00:00"/>
    <x v="138"/>
    <d v="2026-02-02T00:00:00"/>
    <d v="2026-02-06T00:00:00"/>
    <d v="2026-02-02T00:00:00"/>
    <n v="1"/>
    <n v="1"/>
    <n v="100"/>
    <s v="SEM 6"/>
    <s v="Feb-2026"/>
    <x v="0"/>
    <n v="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707"/>
    <s v="DRUM,WIDE OPENING,PL"/>
    <s v="4518951043"/>
    <n v="1000"/>
    <s v="Standard"/>
    <s v="X"/>
    <d v="2025-12-17T00:00:00"/>
    <x v="91"/>
    <d v="2026-07-17T00:00:00"/>
    <d v="2026-07-30T00:00:00"/>
    <d v="2026-01-02T00:00:00"/>
    <n v="1"/>
    <n v="1"/>
    <n v="100"/>
    <s v="SEM 31"/>
    <s v="Jul-2026"/>
    <x v="0"/>
    <n v="1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707"/>
    <s v="DRUM,WIDE OPENING,PL"/>
    <s v="4519237060"/>
    <n v="1000"/>
    <s v="Standard"/>
    <s v="X"/>
    <d v="2026-02-24T00:00:00"/>
    <x v="49"/>
    <d v="2026-03-04T00:00:00"/>
    <d v="2026-03-29T00:00:00"/>
    <d v="2026-02-26T00:00:00"/>
    <n v="1"/>
    <n v="1"/>
    <n v="100"/>
    <s v="SEM 14"/>
    <s v="Mar-2026"/>
    <x v="0"/>
    <n v="25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707"/>
    <s v="DRUM,WIDE OPENING,PL"/>
    <s v="4519404431"/>
    <n v="1000"/>
    <s v="Standard"/>
    <s v="X"/>
    <d v="2026-04-02T00:00:00"/>
    <x v="139"/>
    <d v="2026-05-05T00:00:00"/>
    <d v="2026-05-05T00:00:00"/>
    <d v="2026-05-05T00:00:00"/>
    <n v="1"/>
    <n v="1"/>
    <n v="100"/>
    <s v="SEM 19"/>
    <s v="May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707"/>
    <s v="DRUM,WIDE OPENING,PL"/>
    <s v="4519695415"/>
    <n v="1000"/>
    <s v="Standard"/>
    <s v="X"/>
    <d v="2026-06-03T00:00:00"/>
    <x v="8"/>
    <d v="2026-07-06T00:00:00"/>
    <d v="2026-07-06T00:00:00"/>
    <d v="2026-07-09T00:00:00"/>
    <n v="1"/>
    <n v="1"/>
    <n v="100"/>
    <s v="SEM 28"/>
    <s v="Jul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707"/>
    <s v="DRUM,WIDE OPENING,PL"/>
    <s v="4519910144"/>
    <n v="0"/>
    <s v="Standard"/>
    <s v="#"/>
    <d v="2026-07-17T00:00:00"/>
    <x v="140"/>
    <d v="2026-08-06T00:00:00"/>
    <d v="2026-08-19T00:00:00"/>
    <d v="2026-07-17T00:00:00"/>
    <n v="0"/>
    <n v="0"/>
    <s v="#DIV/0"/>
    <s v="SEM 34"/>
    <s v="Aug-2026"/>
    <x v="1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707"/>
    <s v="DRUM,WIDE OPENING,PL"/>
    <s v="4519910144"/>
    <n v="0"/>
    <s v="Standard"/>
    <s v="#"/>
    <d v="2026-07-17T00:00:00"/>
    <x v="140"/>
    <d v="2026-08-07T00:00:00"/>
    <d v="2026-08-19T00:00:00"/>
    <d v="2026-07-17T00:00:00"/>
    <n v="0"/>
    <n v="0"/>
    <s v="#DIV/0"/>
    <s v="SEM 34"/>
    <s v="Aug-2026"/>
    <x v="1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707"/>
    <s v="DRUM,WIDE OPENING,PL"/>
    <s v="4519910144"/>
    <n v="1000"/>
    <s v="Standard"/>
    <s v="#"/>
    <d v="2026-07-17T00:00:00"/>
    <x v="140"/>
    <d v="2026-08-10T00:00:00"/>
    <d v="2026-08-19T00:00:00"/>
    <d v="2026-07-17T00:00:00"/>
    <n v="1"/>
    <n v="0"/>
    <n v="0"/>
    <s v="SEM 34"/>
    <s v="Aug-2026"/>
    <x v="1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829"/>
    <s v="COUPLING,CLAMP,PIPE,"/>
    <s v="4519226188"/>
    <n v="8"/>
    <s v="Standard"/>
    <s v="X"/>
    <d v="2026-02-22T00:00:00"/>
    <x v="107"/>
    <d v="2026-04-01T00:00:00"/>
    <d v="2026-04-01T00:00:00"/>
    <d v="2026-04-01T00:00:00"/>
    <n v="1"/>
    <n v="1"/>
    <n v="100"/>
    <s v="SEM 14"/>
    <s v="Apr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829"/>
    <s v="COUPLING,CLAMP,PIPE,"/>
    <s v="4519382913"/>
    <n v="61"/>
    <s v="Standard"/>
    <s v="X"/>
    <d v="2026-03-29T00:00:00"/>
    <x v="141"/>
    <d v="2026-05-06T00:00:00"/>
    <d v="2026-05-06T00:00:00"/>
    <d v="2026-05-06T00:00:00"/>
    <n v="1"/>
    <n v="1"/>
    <n v="100"/>
    <s v="SEM 19"/>
    <s v="May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829"/>
    <s v="COUPLING,CLAMP,PIPE,"/>
    <s v="4519543586"/>
    <n v="2"/>
    <s v="Standard"/>
    <s v="X"/>
    <d v="2026-05-04T00:00:00"/>
    <x v="35"/>
    <d v="2026-06-01T00:00:00"/>
    <d v="2026-06-10T00:00:00"/>
    <d v="2026-06-01T00:00:00"/>
    <n v="1"/>
    <n v="1"/>
    <n v="100"/>
    <s v="SEM 24"/>
    <s v="Jun-2026"/>
    <x v="0"/>
    <n v="9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829"/>
    <s v="COUPLING,CLAMP,PIPE,"/>
    <s v="4519843952"/>
    <n v="4"/>
    <s v="Standard"/>
    <s v="X"/>
    <d v="2026-07-03T00:00:00"/>
    <x v="142"/>
    <d v="2026-08-03T00:00:00"/>
    <d v="2026-08-10T00:00:00"/>
    <d v="2026-08-03T00:00:00"/>
    <n v="1"/>
    <n v="1"/>
    <n v="100"/>
    <s v="SEM 33"/>
    <s v="Aug-2026"/>
    <x v="0"/>
    <n v="7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829"/>
    <s v="COUPLING,CLAMP,PIPE,"/>
    <s v="4519846226"/>
    <n v="3"/>
    <s v="Standard"/>
    <s v="X"/>
    <d v="2026-07-03T00:00:00"/>
    <x v="142"/>
    <d v="2026-08-03T00:00:00"/>
    <d v="2026-08-10T00:00:00"/>
    <d v="2026-08-03T00:00:00"/>
    <n v="1"/>
    <n v="1"/>
    <n v="100"/>
    <s v="SEM 33"/>
    <s v="Aug-2026"/>
    <x v="0"/>
    <n v="7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829"/>
    <s v="COUPLING,CLAMP,PIPE,"/>
    <s v="4519913423"/>
    <n v="2"/>
    <s v="Standard"/>
    <s v="X"/>
    <d v="2026-07-17T00:00:00"/>
    <x v="133"/>
    <d v="2026-08-03T00:00:00"/>
    <d v="2026-08-24T00:00:00"/>
    <d v="2026-08-03T00:00:00"/>
    <n v="1"/>
    <n v="1"/>
    <n v="100"/>
    <s v="SEM 35"/>
    <s v="Aug-2026"/>
    <x v="0"/>
    <n v="2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830"/>
    <s v="COUPLING,CLAMP,PIPE,"/>
    <s v="4518774675"/>
    <n v="3"/>
    <s v="Standard"/>
    <s v="X"/>
    <d v="2025-11-05T00:00:00"/>
    <x v="96"/>
    <d v="2025-11-19T00:00:00"/>
    <d v="2026-02-09T00:00:00"/>
    <d v="2025-11-19T00:00:00"/>
    <n v="1"/>
    <n v="1"/>
    <n v="100"/>
    <s v="SEM 7"/>
    <s v="Feb-2026"/>
    <x v="0"/>
    <n v="8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830"/>
    <s v="COUPLING,CLAMP,PIPE,"/>
    <s v="4519019791"/>
    <n v="5"/>
    <s v="Standard"/>
    <s v="X"/>
    <d v="2026-01-05T00:00:00"/>
    <x v="143"/>
    <d v="2026-02-02T00:00:00"/>
    <d v="2026-02-11T00:00:00"/>
    <d v="2026-02-02T00:00:00"/>
    <n v="1"/>
    <n v="1"/>
    <n v="100"/>
    <s v="SEM 7"/>
    <s v="Feb-2026"/>
    <x v="0"/>
    <n v="9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830"/>
    <s v="COUPLING,CLAMP,PIPE,"/>
    <s v="4519262423"/>
    <n v="4"/>
    <s v="Standard"/>
    <s v="X"/>
    <d v="2026-03-03T00:00:00"/>
    <x v="47"/>
    <d v="2026-04-07T00:00:00"/>
    <d v="2026-04-09T00:00:00"/>
    <d v="2026-04-07T00:00:00"/>
    <n v="1"/>
    <n v="1"/>
    <n v="100"/>
    <s v="SEM 15"/>
    <s v="Apr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830"/>
    <s v="COUPLING,CLAMP,PIPE,"/>
    <s v="4519298322"/>
    <n v="1"/>
    <s v="Standard"/>
    <s v="X"/>
    <d v="2026-03-10T00:00:00"/>
    <x v="144"/>
    <d v="2026-04-01T00:00:00"/>
    <d v="2026-04-17T00:00:00"/>
    <d v="2026-04-01T00:00:00"/>
    <n v="1"/>
    <n v="1"/>
    <n v="100"/>
    <s v="SEM 16"/>
    <s v="Apr-2026"/>
    <x v="0"/>
    <n v="16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830"/>
    <s v="COUPLING,CLAMP,PIPE,"/>
    <s v="4519571754"/>
    <n v="1"/>
    <s v="Standard"/>
    <s v="X"/>
    <d v="2026-05-08T00:00:00"/>
    <x v="145"/>
    <d v="2026-06-01T00:00:00"/>
    <d v="2026-06-15T00:00:00"/>
    <d v="2026-06-01T00:00:00"/>
    <n v="1"/>
    <n v="1"/>
    <n v="100"/>
    <s v="SEM 25"/>
    <s v="Jun-2026"/>
    <x v="0"/>
    <n v="1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831"/>
    <s v="COUPLING,CLAMP,PIPE,"/>
    <s v="4519726665"/>
    <n v="3"/>
    <s v="Standard"/>
    <s v="X"/>
    <d v="2026-06-10T00:00:00"/>
    <x v="0"/>
    <d v="2026-07-01T00:00:00"/>
    <d v="2026-07-13T00:00:00"/>
    <d v="2026-07-01T00:00:00"/>
    <n v="1"/>
    <n v="1"/>
    <n v="100"/>
    <s v="SEM 29"/>
    <s v="Jul-2026"/>
    <x v="0"/>
    <n v="1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831"/>
    <s v="COUPLING,CLAMP,PIPE,"/>
    <s v="4519859754"/>
    <n v="2"/>
    <s v="Standard"/>
    <s v="X"/>
    <d v="2026-07-07T00:00:00"/>
    <x v="75"/>
    <d v="2026-08-03T00:00:00"/>
    <d v="2026-08-09T00:00:00"/>
    <d v="2026-08-03T00:00:00"/>
    <n v="1"/>
    <n v="1"/>
    <n v="100"/>
    <s v="SEM 33"/>
    <s v="Aug-2026"/>
    <x v="0"/>
    <n v="6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833"/>
    <s v="COUPLING,CLAMP,PIPE,"/>
    <s v="4519644221"/>
    <n v="3"/>
    <s v="Standard"/>
    <s v="X"/>
    <d v="2026-05-23T00:00:00"/>
    <x v="2"/>
    <d v="2026-06-12T00:00:00"/>
    <d v="2026-06-30T00:00:00"/>
    <d v="2026-06-12T00:00:00"/>
    <n v="1"/>
    <n v="1"/>
    <n v="100"/>
    <s v="SEM 27"/>
    <s v="Jun-2026"/>
    <x v="0"/>
    <n v="18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833"/>
    <s v="COUPLING,CLAMP,PIPE,"/>
    <s v="4519689707"/>
    <n v="1"/>
    <s v="Standard"/>
    <s v="X"/>
    <d v="2026-06-02T00:00:00"/>
    <x v="60"/>
    <d v="2026-07-01T00:00:00"/>
    <d v="2026-07-10T00:00:00"/>
    <d v="2026-07-01T00:00:00"/>
    <n v="1"/>
    <n v="1"/>
    <n v="100"/>
    <s v="SEM 28"/>
    <s v="Jul-2026"/>
    <x v="0"/>
    <n v="9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834"/>
    <s v="COUPLING,CLAMP,PIPE,"/>
    <s v="4519003118"/>
    <n v="2"/>
    <s v="Standard"/>
    <s v="X"/>
    <d v="2026-01-01T00:00:00"/>
    <x v="146"/>
    <d v="2026-02-02T00:00:00"/>
    <d v="2026-02-03T00:00:00"/>
    <d v="2026-02-02T00:00:00"/>
    <n v="1"/>
    <n v="1"/>
    <n v="100"/>
    <s v="SEM 6"/>
    <s v="Feb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834"/>
    <s v="COUPLING,CLAMP,PIPE,"/>
    <s v="4519562175"/>
    <n v="9"/>
    <s v="Standard"/>
    <s v="X"/>
    <d v="2026-05-07T00:00:00"/>
    <x v="70"/>
    <d v="2026-06-01T00:00:00"/>
    <d v="2026-06-08T00:00:00"/>
    <d v="2026-06-01T00:00:00"/>
    <n v="1"/>
    <n v="1"/>
    <n v="100"/>
    <s v="SEM 24"/>
    <s v="Jun-2026"/>
    <x v="0"/>
    <n v="7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834"/>
    <s v="COUPLING,CLAMP,PIPE,"/>
    <s v="4519569454"/>
    <n v="3"/>
    <s v="Standard"/>
    <s v="X"/>
    <d v="2026-05-08T00:00:00"/>
    <x v="35"/>
    <d v="2026-06-01T00:00:00"/>
    <d v="2026-06-10T00:00:00"/>
    <d v="2026-06-01T00:00:00"/>
    <n v="1"/>
    <n v="1"/>
    <n v="100"/>
    <s v="SEM 24"/>
    <s v="Jun-2026"/>
    <x v="0"/>
    <n v="9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834"/>
    <s v="COUPLING,CLAMP,PIPE,"/>
    <s v="4519625222"/>
    <n v="3"/>
    <s v="Standard"/>
    <s v="X"/>
    <d v="2026-05-19T00:00:00"/>
    <x v="147"/>
    <d v="2026-06-12T00:00:00"/>
    <d v="2026-06-21T00:00:00"/>
    <d v="2026-06-12T00:00:00"/>
    <n v="1"/>
    <n v="1"/>
    <n v="100"/>
    <s v="SEM 26"/>
    <s v="Jun-2026"/>
    <x v="0"/>
    <n v="9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834"/>
    <s v="COUPLING,CLAMP,PIPE,"/>
    <s v="4519869867"/>
    <n v="1"/>
    <s v="Standard"/>
    <s v="X"/>
    <d v="2026-07-08T00:00:00"/>
    <x v="142"/>
    <d v="2026-08-03T00:00:00"/>
    <d v="2026-08-10T00:00:00"/>
    <d v="2026-08-03T00:00:00"/>
    <n v="1"/>
    <n v="1"/>
    <n v="100"/>
    <s v="SEM 33"/>
    <s v="Aug-2026"/>
    <x v="0"/>
    <n v="7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834"/>
    <s v="COUPLING,CLAMP,PIPE,"/>
    <s v="4519872429"/>
    <n v="3"/>
    <s v="Standard"/>
    <s v="X"/>
    <d v="2026-07-09T00:00:00"/>
    <x v="9"/>
    <d v="2026-08-03T00:00:00"/>
    <d v="2026-08-11T00:00:00"/>
    <d v="2026-08-03T00:00:00"/>
    <n v="1"/>
    <n v="1"/>
    <n v="100"/>
    <s v="SEM 33"/>
    <s v="Aug-2026"/>
    <x v="0"/>
    <n v="8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834"/>
    <s v="COUPLING,CLAMP,PIPE,"/>
    <s v="4519946557"/>
    <n v="3"/>
    <s v="Standard"/>
    <s v="X"/>
    <d v="2026-07-24T00:00:00"/>
    <x v="118"/>
    <d v="2026-08-12T00:00:00"/>
    <d v="2026-08-26T00:00:00"/>
    <d v="2026-08-12T00:00:00"/>
    <n v="1"/>
    <n v="1"/>
    <n v="100"/>
    <s v="SEM 35"/>
    <s v="Aug-2026"/>
    <x v="0"/>
    <n v="1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834"/>
    <s v="COUPLING,CLAMP,PIPE,"/>
    <s v="4520014718"/>
    <n v="8"/>
    <s v="Standard"/>
    <s v="#"/>
    <d v="2026-08-08T00:00:00"/>
    <x v="148"/>
    <s v="#"/>
    <d v="2026-09-09T00:00:00"/>
    <d v="2026-08-08T00:00:00"/>
    <n v="1"/>
    <n v="0"/>
    <n v="0"/>
    <s v="SEM 37"/>
    <s v="Sep-2026"/>
    <x v="2"/>
    <n v="2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834"/>
    <s v="COUPLING,CLAMP,PIPE,"/>
    <s v="4520020057"/>
    <n v="1"/>
    <s v="Standard"/>
    <s v="#"/>
    <d v="2026-08-09T00:00:00"/>
    <x v="149"/>
    <s v="#"/>
    <d v="2026-09-11T00:00:00"/>
    <d v="2026-08-09T00:00:00"/>
    <n v="1"/>
    <n v="0"/>
    <n v="0"/>
    <s v="SEM 37"/>
    <s v="Sep-2026"/>
    <x v="2"/>
    <n v="2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834"/>
    <s v="COUPLING,CLAMP,PIPE,"/>
    <s v="4520040545"/>
    <n v="5"/>
    <s v="Standard"/>
    <s v="#"/>
    <d v="2026-08-13T00:00:00"/>
    <x v="150"/>
    <s v="#"/>
    <d v="2026-09-15T00:00:00"/>
    <d v="2026-08-13T00:00:00"/>
    <n v="1"/>
    <n v="0"/>
    <n v="0"/>
    <s v="SEM 38"/>
    <s v="Sep-2026"/>
    <x v="2"/>
    <n v="28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8834"/>
    <s v="COUPLING,CLAMP,PIPE,"/>
    <s v="4520048684"/>
    <n v="2"/>
    <s v="Standard"/>
    <s v="#"/>
    <d v="2026-08-15T00:00:00"/>
    <x v="10"/>
    <s v="#"/>
    <d v="2026-09-17T00:00:00"/>
    <d v="2026-08-15T00:00:00"/>
    <n v="1"/>
    <n v="0"/>
    <n v="0"/>
    <s v="SEM 38"/>
    <s v="Sep-2026"/>
    <x v="2"/>
    <n v="3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9424"/>
    <s v="BELT,V,5VX SECT,63IN"/>
    <s v="4518905689"/>
    <n v="5"/>
    <s v="Standard"/>
    <s v="X"/>
    <d v="2025-12-06T00:00:00"/>
    <x v="151"/>
    <d v="2026-01-02T00:00:00"/>
    <d v="2026-01-03T00:00:00"/>
    <d v="2026-01-02T00:00:00"/>
    <n v="1"/>
    <n v="1"/>
    <n v="100"/>
    <s v="SEM 1"/>
    <s v="Jan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9424"/>
    <s v="BELT,V,5VX SECT,63IN"/>
    <s v="4519036158"/>
    <n v="6"/>
    <s v="Standard"/>
    <s v="X"/>
    <d v="2026-01-08T00:00:00"/>
    <x v="120"/>
    <d v="2026-02-04T00:00:00"/>
    <d v="2026-02-05T00:00:00"/>
    <d v="2026-02-04T00:00:00"/>
    <n v="1"/>
    <n v="1"/>
    <n v="100"/>
    <s v="SEM 6"/>
    <s v="Feb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9424"/>
    <s v="BELT,V,5VX SECT,63IN"/>
    <s v="4519192075"/>
    <n v="8"/>
    <s v="Standard"/>
    <s v="X"/>
    <d v="2026-02-14T00:00:00"/>
    <x v="89"/>
    <d v="2026-03-02T00:00:00"/>
    <d v="2026-03-14T00:00:00"/>
    <d v="2026-03-02T00:00:00"/>
    <n v="1"/>
    <n v="1"/>
    <n v="100"/>
    <s v="SEM 11"/>
    <s v="Mar-2026"/>
    <x v="0"/>
    <n v="1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9424"/>
    <s v="BELT,V,5VX SECT,63IN"/>
    <s v="4519283606"/>
    <n v="3"/>
    <s v="Standard"/>
    <s v="X"/>
    <d v="2026-03-07T00:00:00"/>
    <x v="152"/>
    <d v="2026-04-02T00:00:00"/>
    <d v="2026-04-04T00:00:00"/>
    <d v="2026-04-02T00:00:00"/>
    <n v="1"/>
    <n v="1"/>
    <n v="100"/>
    <s v="SEM 14"/>
    <s v="Apr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9424"/>
    <s v="BELT,V,5VX SECT,63IN"/>
    <s v="4519307355"/>
    <n v="8"/>
    <s v="Standard"/>
    <s v="X"/>
    <d v="2026-03-12T00:00:00"/>
    <x v="47"/>
    <d v="2026-04-02T00:00:00"/>
    <d v="2026-04-09T00:00:00"/>
    <d v="2026-04-02T00:00:00"/>
    <n v="1"/>
    <n v="1"/>
    <n v="100"/>
    <s v="SEM 15"/>
    <s v="Apr-2026"/>
    <x v="0"/>
    <n v="7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9424"/>
    <s v="BELT,V,5VX SECT,63IN"/>
    <s v="4519323607"/>
    <n v="8"/>
    <s v="Standard"/>
    <s v="X"/>
    <d v="2026-03-16T00:00:00"/>
    <x v="153"/>
    <d v="2026-04-02T00:00:00"/>
    <d v="2026-04-13T00:00:00"/>
    <d v="2026-04-02T00:00:00"/>
    <n v="1"/>
    <n v="1"/>
    <n v="100"/>
    <s v="SEM 16"/>
    <s v="Apr-2026"/>
    <x v="0"/>
    <n v="1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9424"/>
    <s v="BELT,V,5VX SECT,63IN"/>
    <s v="4519379839"/>
    <n v="8"/>
    <s v="Standard"/>
    <s v="X"/>
    <d v="2026-03-28T00:00:00"/>
    <x v="80"/>
    <d v="2026-04-17T00:00:00"/>
    <d v="2026-04-25T00:00:00"/>
    <d v="2026-04-17T00:00:00"/>
    <n v="1"/>
    <n v="1"/>
    <n v="100"/>
    <s v="SEM 17"/>
    <s v="Apr-2026"/>
    <x v="0"/>
    <n v="8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9424"/>
    <s v="BELT,V,5VX SECT,63IN"/>
    <s v="4519642262"/>
    <n v="13"/>
    <s v="Standard"/>
    <s v="X"/>
    <d v="2026-05-22T00:00:00"/>
    <x v="154"/>
    <d v="2026-06-16T00:00:00"/>
    <d v="2026-06-19T00:00:00"/>
    <d v="2026-06-16T00:00:00"/>
    <n v="1"/>
    <n v="1"/>
    <n v="100"/>
    <s v="SEM 25"/>
    <s v="Jun-2026"/>
    <x v="0"/>
    <n v="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89424"/>
    <s v="BELT,V,5VX SECT,63IN"/>
    <s v="4519875508"/>
    <n v="3"/>
    <s v="Standard"/>
    <s v="X"/>
    <d v="2026-07-09T00:00:00"/>
    <x v="50"/>
    <d v="2026-08-03T00:00:00"/>
    <d v="2026-08-06T00:00:00"/>
    <d v="2026-08-03T00:00:00"/>
    <n v="1"/>
    <n v="1"/>
    <n v="100"/>
    <s v="SEM 32"/>
    <s v="Aug-2026"/>
    <x v="0"/>
    <n v="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90548"/>
    <s v="FILTER ELEMENT,FLUID"/>
    <s v="4518978983"/>
    <n v="6"/>
    <s v="Standard"/>
    <s v="X"/>
    <d v="2025-12-24T00:00:00"/>
    <x v="155"/>
    <d v="2026-01-06T00:00:00"/>
    <d v="2026-01-16T00:00:00"/>
    <d v="2026-01-06T00:00:00"/>
    <n v="1"/>
    <n v="1"/>
    <n v="100"/>
    <s v="SEM 3"/>
    <s v="Jan-2026"/>
    <x v="0"/>
    <n v="1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90548"/>
    <s v="FILTER ELEMENT,FLUID"/>
    <s v="4519307052"/>
    <n v="6"/>
    <s v="Standard"/>
    <s v="X"/>
    <d v="2026-03-12T00:00:00"/>
    <x v="152"/>
    <d v="2026-04-01T00:00:00"/>
    <d v="2026-04-04T00:00:00"/>
    <d v="2026-04-01T00:00:00"/>
    <n v="1"/>
    <n v="1"/>
    <n v="100"/>
    <s v="SEM 14"/>
    <s v="Apr-2026"/>
    <x v="0"/>
    <n v="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99545"/>
    <s v="METAL,EXPANDED,5MM T"/>
    <s v="4518961314"/>
    <n v="2"/>
    <s v="Standard"/>
    <s v="X"/>
    <d v="2025-12-20T00:00:00"/>
    <x v="57"/>
    <d v="2026-01-12T00:00:00"/>
    <d v="2026-01-12T00:00:00"/>
    <d v="2026-01-12T00:00:00"/>
    <n v="1"/>
    <n v="1"/>
    <n v="100"/>
    <s v="SEM 3"/>
    <s v="Jan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99545"/>
    <s v="METAL,EXPANDED,5MM T"/>
    <s v="4519153480"/>
    <n v="1"/>
    <s v="Standard"/>
    <s v="X"/>
    <d v="2026-02-05T00:00:00"/>
    <x v="27"/>
    <d v="2026-02-26T00:00:00"/>
    <d v="2026-02-28T00:00:00"/>
    <d v="2026-02-26T00:00:00"/>
    <n v="1"/>
    <n v="1"/>
    <n v="100"/>
    <s v="SEM 9"/>
    <s v="Feb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99545"/>
    <s v="METAL,EXPANDED,5MM T"/>
    <s v="4519174975"/>
    <n v="6"/>
    <s v="Standard"/>
    <s v="X"/>
    <d v="2026-02-10T00:00:00"/>
    <x v="122"/>
    <d v="2026-03-03T00:00:00"/>
    <d v="2026-03-05T00:00:00"/>
    <d v="2026-03-03T00:00:00"/>
    <n v="1"/>
    <n v="1"/>
    <n v="100"/>
    <s v="SEM 10"/>
    <s v="Mar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99545"/>
    <s v="METAL,EXPANDED,5MM T"/>
    <s v="4519556144"/>
    <n v="2"/>
    <s v="Standard"/>
    <s v="X"/>
    <d v="2026-05-06T00:00:00"/>
    <x v="156"/>
    <d v="2026-05-18T00:00:00"/>
    <d v="2026-05-28T00:00:00"/>
    <d v="2026-05-18T00:00:00"/>
    <n v="1"/>
    <n v="1"/>
    <n v="100"/>
    <s v="SEM 22"/>
    <s v="May-2026"/>
    <x v="0"/>
    <n v="1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99545"/>
    <s v="METAL,EXPANDED,5MM T"/>
    <s v="4519879771"/>
    <n v="1"/>
    <s v="Standard"/>
    <s v="X"/>
    <d v="2026-07-10T00:00:00"/>
    <x v="38"/>
    <d v="2026-07-27T00:00:00"/>
    <d v="2026-08-02T00:00:00"/>
    <d v="2026-07-27T00:00:00"/>
    <n v="1"/>
    <n v="1"/>
    <n v="100"/>
    <s v="SEM 32"/>
    <s v="Aug-2026"/>
    <x v="0"/>
    <n v="6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99545"/>
    <s v="METAL,EXPANDED,5MM T"/>
    <s v="4519981454"/>
    <n v="1"/>
    <s v="Standard"/>
    <s v="#"/>
    <d v="2026-08-01T00:00:00"/>
    <x v="133"/>
    <s v="#"/>
    <d v="2026-08-24T00:00:00"/>
    <d v="2026-08-01T00:00:00"/>
    <n v="1"/>
    <n v="0"/>
    <n v="0"/>
    <s v="SEM 35"/>
    <s v="Aug-2026"/>
    <x v="2"/>
    <n v="6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399545"/>
    <s v="METAL,EXPANDED,5MM T"/>
    <s v="4520013571"/>
    <n v="2"/>
    <s v="Standard"/>
    <s v="#"/>
    <d v="2026-08-07T00:00:00"/>
    <x v="128"/>
    <s v="#"/>
    <d v="2026-08-30T00:00:00"/>
    <d v="2026-08-07T00:00:00"/>
    <n v="1"/>
    <n v="0"/>
    <n v="0"/>
    <s v="SEM 36"/>
    <s v="Aug-2026"/>
    <x v="2"/>
    <n v="1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07825"/>
    <s v="RUPTURE DISK,TYPE SC"/>
    <s v="4519439497"/>
    <n v="1"/>
    <s v="Standard"/>
    <s v="X"/>
    <d v="2026-04-10T00:00:00"/>
    <x v="157"/>
    <d v="2026-06-05T00:00:00"/>
    <d v="2026-06-05T00:00:00"/>
    <d v="2026-06-05T00:00:00"/>
    <n v="1"/>
    <n v="1"/>
    <n v="100"/>
    <s v="SEM 23"/>
    <s v="Jun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09507"/>
    <s v="CLAMP,5 X 3IN,SERGOM"/>
    <s v="4519123203"/>
    <n v="1924"/>
    <s v="Standard"/>
    <s v="X"/>
    <d v="2026-01-29T00:00:00"/>
    <x v="158"/>
    <d v="2026-02-20T00:00:00"/>
    <d v="2026-02-21T00:00:00"/>
    <d v="2026-02-20T00:00:00"/>
    <n v="1"/>
    <n v="1"/>
    <n v="100"/>
    <s v="SEM 8"/>
    <s v="Feb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09507"/>
    <s v="CLAMP,5 X 3IN,SERGOM"/>
    <s v="4519250340"/>
    <n v="1483"/>
    <s v="Standard"/>
    <s v="X"/>
    <d v="2026-02-27T00:00:00"/>
    <x v="123"/>
    <d v="2026-03-13T00:00:00"/>
    <d v="2026-03-22T00:00:00"/>
    <d v="2026-03-13T00:00:00"/>
    <n v="1"/>
    <n v="1"/>
    <n v="100"/>
    <s v="SEM 13"/>
    <s v="Mar-2026"/>
    <x v="0"/>
    <n v="9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09507"/>
    <s v="CLAMP,5 X 3IN,SERGOM"/>
    <s v="4519845978"/>
    <n v="1210"/>
    <s v="Standard"/>
    <s v="X"/>
    <d v="2026-07-03T00:00:00"/>
    <x v="132"/>
    <d v="2026-07-24T00:00:00"/>
    <d v="2026-07-26T00:00:00"/>
    <d v="2026-07-24T00:00:00"/>
    <n v="1"/>
    <n v="1"/>
    <n v="100"/>
    <s v="SEM 31"/>
    <s v="Jul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09507"/>
    <s v="CLAMP,5 X 3IN,SERGOM"/>
    <s v="4519851472"/>
    <n v="1001"/>
    <s v="Standard"/>
    <s v="X"/>
    <d v="2026-07-05T00:00:00"/>
    <x v="159"/>
    <d v="2026-07-21T00:00:00"/>
    <d v="2026-07-28T00:00:00"/>
    <d v="2026-07-21T00:00:00"/>
    <n v="1"/>
    <n v="1"/>
    <n v="100"/>
    <s v="SEM 31"/>
    <s v="Jul-2026"/>
    <x v="0"/>
    <n v="7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10934"/>
    <s v="STRIP,MTL,TYPE Z,STR"/>
    <s v="4518996981"/>
    <n v="17"/>
    <s v="Standard"/>
    <s v="X"/>
    <d v="2025-12-30T00:00:00"/>
    <x v="11"/>
    <d v="2026-01-09T00:00:00"/>
    <d v="2026-01-27T00:00:00"/>
    <d v="2026-01-09T00:00:00"/>
    <n v="1"/>
    <n v="1"/>
    <n v="100"/>
    <s v="SEM 5"/>
    <s v="Jan-2026"/>
    <x v="0"/>
    <n v="18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10934"/>
    <s v="STRIP,MTL,TYPE Z,STR"/>
    <s v="4519181317"/>
    <n v="15"/>
    <s v="Standard"/>
    <s v="X"/>
    <d v="2026-02-12T00:00:00"/>
    <x v="160"/>
    <d v="2026-03-02T00:00:00"/>
    <d v="2026-03-12T00:00:00"/>
    <d v="2026-03-02T00:00:00"/>
    <n v="1"/>
    <n v="1"/>
    <n v="100"/>
    <s v="SEM 11"/>
    <s v="Mar-2026"/>
    <x v="0"/>
    <n v="1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10934"/>
    <s v="STRIP,MTL,TYPE Z,STR"/>
    <s v="4519200969"/>
    <n v="15"/>
    <s v="Standard"/>
    <s v="X"/>
    <d v="2026-02-16T00:00:00"/>
    <x v="29"/>
    <d v="2026-03-02T00:00:00"/>
    <d v="2026-03-16T00:00:00"/>
    <d v="2026-03-02T00:00:00"/>
    <n v="1"/>
    <n v="1"/>
    <n v="100"/>
    <s v="SEM 12"/>
    <s v="Mar-2026"/>
    <x v="0"/>
    <n v="1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10934"/>
    <s v="STRIP,MTL,TYPE Z,STR"/>
    <s v="4519631357"/>
    <n v="37"/>
    <s v="Standard"/>
    <s v="X"/>
    <d v="2026-05-20T00:00:00"/>
    <x v="64"/>
    <d v="2026-06-03T00:00:00"/>
    <d v="2026-06-17T00:00:00"/>
    <d v="2026-05-22T00:00:00"/>
    <n v="1"/>
    <n v="1"/>
    <n v="100"/>
    <s v="SEM 25"/>
    <s v="Jun-2026"/>
    <x v="0"/>
    <n v="1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11205"/>
    <s v="GASKET KIT,GORETEX G"/>
    <s v="4518959364"/>
    <n v="2"/>
    <s v="Standard"/>
    <s v="X"/>
    <d v="2025-12-19T00:00:00"/>
    <x v="42"/>
    <d v="2026-01-09T00:00:00"/>
    <d v="2026-01-11T00:00:00"/>
    <d v="2026-01-09T00:00:00"/>
    <n v="1"/>
    <n v="1"/>
    <n v="100"/>
    <s v="SEM 3"/>
    <s v="Jan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11205"/>
    <s v="GASKET KIT,GORETEX G"/>
    <s v="4519579989"/>
    <n v="1"/>
    <s v="Standard"/>
    <s v="X"/>
    <d v="2026-05-11T00:00:00"/>
    <x v="17"/>
    <d v="2026-06-03T00:00:00"/>
    <d v="2026-06-03T00:00:00"/>
    <d v="2026-06-03T00:00:00"/>
    <n v="1"/>
    <n v="1"/>
    <n v="100"/>
    <s v="SEM 23"/>
    <s v="Jun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11298"/>
    <s v="RELAY,ELECTROMAGNETI"/>
    <s v="4518585174"/>
    <n v="4"/>
    <s v="Standard"/>
    <s v="X"/>
    <d v="2025-09-24T00:00:00"/>
    <x v="98"/>
    <d v="2026-01-02T00:00:00"/>
    <d v="2026-01-30T00:00:00"/>
    <d v="2026-01-02T00:00:00"/>
    <n v="1"/>
    <n v="1"/>
    <n v="100"/>
    <s v="SEM 5"/>
    <s v="Jan-2026"/>
    <x v="0"/>
    <n v="28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12294"/>
    <s v="TUBE,GAS,LIQUIDAR 80"/>
    <s v="4519976438"/>
    <n v="1"/>
    <s v="Standard"/>
    <s v="#"/>
    <d v="2026-07-31T00:00:00"/>
    <x v="10"/>
    <s v="#"/>
    <d v="2026-09-17T00:00:00"/>
    <d v="2026-07-31T00:00:00"/>
    <n v="1"/>
    <n v="0"/>
    <n v="0"/>
    <s v="SEM 38"/>
    <s v="Sep-2026"/>
    <x v="2"/>
    <n v="3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17315"/>
    <s v="CONTACTOR,LT,WORK,SI"/>
    <s v="4519065492"/>
    <n v="5"/>
    <s v="Standard"/>
    <s v="X"/>
    <d v="2026-01-15T00:00:00"/>
    <x v="161"/>
    <d v="2026-08-07T00:00:00"/>
    <d v="2026-02-17T00:00:00"/>
    <d v="2026-08-07T00:00:00"/>
    <n v="1"/>
    <n v="0"/>
    <n v="0"/>
    <s v="SEM 8"/>
    <s v="Feb-2026"/>
    <x v="0"/>
    <n v="-171"/>
    <x v="1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54292"/>
    <s v="MANIFOLD KIT,ESCONDI"/>
    <s v="4518978870"/>
    <n v="1"/>
    <s v="Standard"/>
    <s v="X"/>
    <d v="2025-12-24T00:00:00"/>
    <x v="162"/>
    <d v="2026-02-20T00:00:00"/>
    <d v="2026-01-26T00:00:00"/>
    <d v="2026-02-20T00:00:00"/>
    <n v="1"/>
    <n v="0"/>
    <n v="0"/>
    <s v="SEM 5"/>
    <s v="Jan-2026"/>
    <x v="0"/>
    <n v="-25"/>
    <x v="1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54292"/>
    <s v="MANIFOLD KIT,ESCONDI"/>
    <s v="4519293264"/>
    <n v="1"/>
    <s v="Standard"/>
    <s v="X"/>
    <d v="2026-03-09T00:00:00"/>
    <x v="163"/>
    <d v="2026-05-22T00:00:00"/>
    <d v="2026-04-11T00:00:00"/>
    <d v="2026-05-22T00:00:00"/>
    <n v="1"/>
    <n v="0"/>
    <n v="0"/>
    <s v="SEM 15"/>
    <s v="Apr-2026"/>
    <x v="0"/>
    <n v="-41"/>
    <x v="1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54292"/>
    <s v="MANIFOLD KIT,ESCONDI"/>
    <s v="4519864827"/>
    <n v="1"/>
    <s v="Standard"/>
    <s v="#"/>
    <d v="2026-07-07T00:00:00"/>
    <x v="75"/>
    <s v="#"/>
    <d v="2026-08-09T00:00:00"/>
    <d v="2026-07-07T00:00:00"/>
    <n v="1"/>
    <n v="0"/>
    <n v="0"/>
    <s v="SEM 33"/>
    <s v="Aug-2026"/>
    <x v="2"/>
    <n v="-9"/>
    <x v="1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54292"/>
    <s v="MANIFOLD KIT,ESCONDI"/>
    <s v="4520030503"/>
    <n v="1"/>
    <s v="Standard"/>
    <s v="#"/>
    <d v="2026-08-11T00:00:00"/>
    <x v="52"/>
    <s v="#"/>
    <d v="2026-09-13T00:00:00"/>
    <d v="2026-08-11T00:00:00"/>
    <n v="1"/>
    <n v="0"/>
    <n v="0"/>
    <s v="SEM 38"/>
    <s v="Sep-2026"/>
    <x v="2"/>
    <n v="26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54293"/>
    <s v="SPIGOT,CONICAL,ESCON"/>
    <s v="4518974402"/>
    <n v="1"/>
    <s v="Standard"/>
    <s v="X"/>
    <d v="2025-12-23T00:00:00"/>
    <x v="96"/>
    <d v="2026-02-09T00:00:00"/>
    <d v="2026-02-09T00:00:00"/>
    <d v="2026-02-09T00:00:00"/>
    <n v="1"/>
    <n v="1"/>
    <n v="100"/>
    <s v="SEM 7"/>
    <s v="Feb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54293"/>
    <s v="SPIGOT,CONICAL,ESCON"/>
    <s v="4519285829"/>
    <n v="1"/>
    <s v="Standard"/>
    <s v="X"/>
    <d v="2026-03-08T00:00:00"/>
    <x v="23"/>
    <d v="2026-07-01T00:00:00"/>
    <d v="2026-07-31T00:00:00"/>
    <d v="2026-07-01T00:00:00"/>
    <n v="1"/>
    <n v="1"/>
    <n v="100"/>
    <s v="SEM 31"/>
    <s v="Jul-2026"/>
    <x v="0"/>
    <n v="3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54293"/>
    <s v="SPIGOT,CONICAL,ESCON"/>
    <s v="4519957012"/>
    <n v="1"/>
    <s v="Standard"/>
    <s v="#"/>
    <d v="2026-07-27T00:00:00"/>
    <x v="52"/>
    <s v="#"/>
    <d v="2026-09-13T00:00:00"/>
    <d v="2026-07-27T00:00:00"/>
    <n v="1"/>
    <n v="0"/>
    <n v="0"/>
    <s v="SEM 38"/>
    <s v="Sep-2026"/>
    <x v="2"/>
    <n v="26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54294"/>
    <s v="SPIGOT,20IN,ESCONDID"/>
    <s v="4519282854"/>
    <n v="1"/>
    <s v="Standard"/>
    <s v="X"/>
    <d v="2026-03-07T00:00:00"/>
    <x v="113"/>
    <d v="2026-05-13T00:00:00"/>
    <d v="2026-04-24T00:00:00"/>
    <d v="2026-05-13T00:00:00"/>
    <n v="1"/>
    <n v="0"/>
    <n v="0"/>
    <s v="SEM 17"/>
    <s v="Apr-2026"/>
    <x v="0"/>
    <n v="-19"/>
    <x v="1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54295"/>
    <s v="SPIGOT,24IN,CA-1,ESC"/>
    <s v="4519688443"/>
    <n v="1"/>
    <s v="Standard"/>
    <s v="X"/>
    <d v="2026-06-02T00:00:00"/>
    <x v="164"/>
    <d v="2026-07-20T00:00:00"/>
    <d v="2026-07-20T00:00:00"/>
    <d v="2026-07-20T00:00:00"/>
    <n v="1"/>
    <n v="1"/>
    <n v="100"/>
    <s v="SEM 30"/>
    <s v="Jul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54295"/>
    <s v="SPIGOT,24IN,CA-1,ESC"/>
    <s v="4519789933"/>
    <n v="2"/>
    <s v="Standard"/>
    <s v="X"/>
    <d v="2026-06-23T00:00:00"/>
    <x v="142"/>
    <d v="2026-08-10T00:00:00"/>
    <d v="2026-08-10T00:00:00"/>
    <d v="2026-08-10T00:00:00"/>
    <n v="1"/>
    <n v="1"/>
    <n v="100"/>
    <s v="SEM 33"/>
    <s v="Aug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71114"/>
    <s v="FILTER ELEMENT,AC,WA"/>
    <s v="4519155172"/>
    <n v="25"/>
    <s v="Standard"/>
    <s v="X"/>
    <d v="2026-02-05T00:00:00"/>
    <x v="165"/>
    <d v="2026-03-02T00:00:00"/>
    <d v="2026-03-10T00:00:00"/>
    <d v="2026-03-02T00:00:00"/>
    <n v="1"/>
    <n v="1"/>
    <n v="100"/>
    <s v="SEM 11"/>
    <s v="Mar-2026"/>
    <x v="0"/>
    <n v="8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71114"/>
    <s v="FILTER ELEMENT,AC,WA"/>
    <s v="4520017144"/>
    <n v="25"/>
    <s v="Standard"/>
    <s v="#"/>
    <d v="2026-08-08T00:00:00"/>
    <x v="166"/>
    <s v="#"/>
    <d v="2026-09-10T00:00:00"/>
    <d v="2026-08-08T00:00:00"/>
    <n v="1"/>
    <n v="0"/>
    <n v="0"/>
    <s v="SEM 37"/>
    <s v="Sep-2026"/>
    <x v="2"/>
    <n v="2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71244"/>
    <s v="PIPELINE,ESCONDIDA P"/>
    <s v="4519220792"/>
    <n v="1"/>
    <s v="Standard"/>
    <s v="X"/>
    <d v="2026-02-20T00:00:00"/>
    <x v="167"/>
    <d v="2026-06-02T00:00:00"/>
    <d v="2026-09-23T00:00:00"/>
    <d v="2026-06-02T00:00:00"/>
    <n v="1"/>
    <n v="1"/>
    <n v="100"/>
    <s v="SEM 39"/>
    <s v="Sep-2026"/>
    <x v="0"/>
    <n v="11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71244"/>
    <s v="PIPELINE,ESCONDIDA P"/>
    <s v="4519944519"/>
    <n v="1"/>
    <s v="Standard"/>
    <s v="#"/>
    <d v="2026-07-24T00:00:00"/>
    <x v="168"/>
    <s v="#"/>
    <d v="2026-11-24T00:00:00"/>
    <d v="2026-08-04T00:00:00"/>
    <n v="1"/>
    <n v="0"/>
    <n v="0"/>
    <s v="SEM 48"/>
    <s v="Nov-2026"/>
    <x v="2"/>
    <n v="98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72482"/>
    <s v="COATING COMPOUND,WEA"/>
    <s v="4518926712"/>
    <n v="300"/>
    <s v="Standard"/>
    <s v="X"/>
    <d v="2025-12-11T00:00:00"/>
    <x v="169"/>
    <d v="2026-01-16T00:00:00"/>
    <d v="2026-01-13T00:00:00"/>
    <d v="2026-01-16T00:00:00"/>
    <n v="1"/>
    <n v="0"/>
    <n v="0"/>
    <s v="SEM 3"/>
    <s v="Jan-2026"/>
    <x v="0"/>
    <n v="-3"/>
    <x v="1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72482"/>
    <s v="COATING COMPOUND,WEA"/>
    <s v="4519568260"/>
    <n v="300"/>
    <s v="Standard"/>
    <s v="X"/>
    <d v="2026-05-08T00:00:00"/>
    <x v="170"/>
    <d v="2026-06-01T00:00:00"/>
    <d v="2026-06-09T00:00:00"/>
    <d v="2026-06-01T00:00:00"/>
    <n v="1"/>
    <n v="1"/>
    <n v="100"/>
    <s v="SEM 24"/>
    <s v="Jun-2026"/>
    <x v="0"/>
    <n v="8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72482"/>
    <s v="COATING COMPOUND,WEA"/>
    <s v="4519597091"/>
    <n v="300"/>
    <s v="Standard"/>
    <s v="X"/>
    <d v="2026-05-14T00:00:00"/>
    <x v="171"/>
    <d v="2026-06-03T00:00:00"/>
    <d v="2026-06-16T00:00:00"/>
    <d v="2026-06-03T00:00:00"/>
    <n v="1"/>
    <n v="1"/>
    <n v="100"/>
    <s v="SEM 25"/>
    <s v="Jun-2026"/>
    <x v="0"/>
    <n v="1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72482"/>
    <s v="COATING COMPOUND,WEA"/>
    <s v="4519942088"/>
    <n v="300"/>
    <s v="Standard"/>
    <s v="X"/>
    <d v="2026-07-23T00:00:00"/>
    <x v="105"/>
    <d v="2026-08-10T00:00:00"/>
    <d v="2026-08-25T00:00:00"/>
    <d v="2026-08-10T00:00:00"/>
    <n v="1"/>
    <n v="1"/>
    <n v="100"/>
    <s v="SEM 35"/>
    <s v="Aug-2026"/>
    <x v="0"/>
    <n v="15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76443"/>
    <s v="PAPER,FILT,MEMBRANE,"/>
    <s v="4518984346"/>
    <n v="4"/>
    <s v="Standard"/>
    <s v="X"/>
    <d v="2025-12-26T00:00:00"/>
    <x v="121"/>
    <d v="2026-02-06T00:00:00"/>
    <d v="2026-02-12T00:00:00"/>
    <d v="2026-02-06T00:00:00"/>
    <n v="1"/>
    <n v="1"/>
    <n v="100"/>
    <s v="SEM 7"/>
    <s v="Feb-2026"/>
    <x v="0"/>
    <n v="6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76443"/>
    <s v="PAPER,FILT,MEMBRANE,"/>
    <s v="4519280407"/>
    <n v="5"/>
    <s v="Standard"/>
    <s v="X"/>
    <d v="2026-03-06T00:00:00"/>
    <x v="59"/>
    <d v="2026-05-20T00:00:00"/>
    <d v="2026-04-23T00:00:00"/>
    <d v="2026-05-20T00:00:00"/>
    <n v="1"/>
    <n v="0"/>
    <n v="0"/>
    <s v="SEM 17"/>
    <s v="Apr-2026"/>
    <x v="0"/>
    <n v="-27"/>
    <x v="1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85175"/>
    <s v="LUBRICANT,METALWORKI"/>
    <s v="4519756325"/>
    <n v="6"/>
    <s v="Standard"/>
    <s v="X"/>
    <d v="2026-06-16T00:00:00"/>
    <x v="6"/>
    <d v="2026-07-02T00:00:00"/>
    <d v="2026-07-09T00:00:00"/>
    <d v="2026-07-02T00:00:00"/>
    <n v="1"/>
    <n v="1"/>
    <n v="100"/>
    <s v="SEM 28"/>
    <s v="Jul-2026"/>
    <x v="0"/>
    <n v="7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85393"/>
    <s v="BUSHING,SLV,370MM BO"/>
    <s v="4518640001"/>
    <n v="1"/>
    <s v="Standard"/>
    <s v="X"/>
    <d v="2025-10-06T00:00:00"/>
    <x v="11"/>
    <d v="2025-12-23T00:00:00"/>
    <d v="2026-01-27T00:00:00"/>
    <d v="2025-12-23T00:00:00"/>
    <n v="1"/>
    <n v="1"/>
    <n v="100"/>
    <s v="SEM 5"/>
    <s v="Jan-2026"/>
    <x v="0"/>
    <n v="35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85393"/>
    <s v="BUSHING,SLV,370MM BO"/>
    <s v="4519366371"/>
    <n v="1"/>
    <s v="Standard"/>
    <s v="X"/>
    <d v="2026-03-25T00:00:00"/>
    <x v="2"/>
    <d v="2026-06-03T00:00:00"/>
    <d v="2026-06-30T00:00:00"/>
    <d v="2026-06-03T00:00:00"/>
    <n v="1"/>
    <n v="1"/>
    <n v="100"/>
    <s v="SEM 27"/>
    <s v="Jun-2026"/>
    <x v="0"/>
    <n v="27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87423"/>
    <s v="SEAT,PLUG,ESCONDIDA"/>
    <s v="4518831656"/>
    <n v="2"/>
    <s v="Standard"/>
    <s v="X"/>
    <d v="2025-11-18T00:00:00"/>
    <x v="172"/>
    <d v="2026-05-13T00:00:00"/>
    <d v="2026-09-22T00:00:00"/>
    <d v="2026-04-16T00:00:00"/>
    <n v="1"/>
    <n v="1"/>
    <n v="100"/>
    <s v="SEM 39"/>
    <s v="Sep-2026"/>
    <x v="0"/>
    <n v="13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96658"/>
    <s v="RUBBER REPAIR COMPOU"/>
    <s v="4519055881"/>
    <n v="4"/>
    <s v="Standard"/>
    <s v="X"/>
    <d v="2026-01-13T00:00:00"/>
    <x v="120"/>
    <d v="2026-02-04T00:00:00"/>
    <d v="2026-02-05T00:00:00"/>
    <d v="2026-02-04T00:00:00"/>
    <n v="1"/>
    <n v="1"/>
    <n v="100"/>
    <s v="SEM 6"/>
    <s v="Feb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96658"/>
    <s v="RUBBER REPAIR COMPOU"/>
    <s v="4519090229"/>
    <n v="3"/>
    <s v="Standard"/>
    <s v="X"/>
    <d v="2026-01-21T00:00:00"/>
    <x v="58"/>
    <d v="2026-02-04T00:00:00"/>
    <d v="2026-02-13T00:00:00"/>
    <d v="2026-02-04T00:00:00"/>
    <n v="1"/>
    <n v="1"/>
    <n v="100"/>
    <s v="SEM 7"/>
    <s v="Feb-2026"/>
    <x v="0"/>
    <n v="9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96658"/>
    <s v="RUBBER REPAIR COMPOU"/>
    <s v="4519768341"/>
    <n v="4"/>
    <s v="Standard"/>
    <s v="X"/>
    <d v="2026-06-18T00:00:00"/>
    <x v="116"/>
    <d v="2026-07-10T00:00:00"/>
    <d v="2026-07-11T00:00:00"/>
    <d v="2026-07-10T00:00:00"/>
    <n v="1"/>
    <n v="1"/>
    <n v="100"/>
    <s v="SEM 28"/>
    <s v="Jul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96728"/>
    <s v="RUBBER REPAIR COMPOU"/>
    <s v="4518950488"/>
    <n v="63"/>
    <s v="Standard"/>
    <s v="X"/>
    <d v="2025-12-17T00:00:00"/>
    <x v="25"/>
    <d v="2026-01-02T00:00:00"/>
    <d v="2026-01-04T00:00:00"/>
    <d v="2026-01-02T00:00:00"/>
    <n v="1"/>
    <n v="1"/>
    <n v="100"/>
    <s v="SEM 2"/>
    <s v="Jan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96728"/>
    <s v="RUBBER REPAIR COMPOU"/>
    <s v="4519123620"/>
    <n v="28"/>
    <s v="Standard"/>
    <s v="X"/>
    <d v="2026-01-30T00:00:00"/>
    <x v="161"/>
    <d v="2026-02-17T00:00:00"/>
    <d v="2026-02-17T00:00:00"/>
    <d v="2026-02-17T00:00:00"/>
    <n v="1"/>
    <n v="1"/>
    <n v="100"/>
    <s v="SEM 8"/>
    <s v="Feb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96728"/>
    <s v="RUBBER REPAIR COMPOU"/>
    <s v="4519143845"/>
    <n v="12"/>
    <s v="Standard"/>
    <s v="X"/>
    <d v="2026-02-03T00:00:00"/>
    <x v="158"/>
    <d v="2026-02-20T00:00:00"/>
    <d v="2026-02-21T00:00:00"/>
    <d v="2026-02-20T00:00:00"/>
    <n v="1"/>
    <n v="1"/>
    <n v="100"/>
    <s v="SEM 8"/>
    <s v="Feb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96728"/>
    <s v="RUBBER REPAIR COMPOU"/>
    <s v="4519251114"/>
    <n v="20"/>
    <s v="Standard"/>
    <s v="X"/>
    <d v="2026-02-27T00:00:00"/>
    <x v="173"/>
    <d v="2026-03-13T00:00:00"/>
    <d v="2026-03-17T00:00:00"/>
    <d v="2026-03-13T00:00:00"/>
    <n v="1"/>
    <n v="1"/>
    <n v="100"/>
    <s v="SEM 12"/>
    <s v="Mar-2026"/>
    <x v="0"/>
    <n v="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96728"/>
    <s v="RUBBER REPAIR COMPOU"/>
    <s v="4519373166"/>
    <n v="4"/>
    <s v="Standard"/>
    <s v="X"/>
    <d v="2026-03-26T00:00:00"/>
    <x v="153"/>
    <d v="2026-04-13T00:00:00"/>
    <d v="2026-04-13T00:00:00"/>
    <d v="2026-04-13T00:00:00"/>
    <n v="1"/>
    <n v="1"/>
    <n v="100"/>
    <s v="SEM 16"/>
    <s v="Apr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96728"/>
    <s v="RUBBER REPAIR COMPOU"/>
    <s v="4519379314"/>
    <n v="20"/>
    <s v="Standard"/>
    <s v="X"/>
    <d v="2026-03-28T00:00:00"/>
    <x v="174"/>
    <d v="2026-04-13T00:00:00"/>
    <d v="2026-04-15T00:00:00"/>
    <d v="2026-04-13T00:00:00"/>
    <n v="1"/>
    <n v="1"/>
    <n v="100"/>
    <s v="SEM 16"/>
    <s v="Apr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96728"/>
    <s v="RUBBER REPAIR COMPOU"/>
    <s v="4519476789"/>
    <n v="30"/>
    <s v="Standard"/>
    <s v="X"/>
    <d v="2026-04-18T00:00:00"/>
    <x v="141"/>
    <d v="2026-05-06T00:00:00"/>
    <d v="2026-05-06T00:00:00"/>
    <d v="2026-05-06T00:00:00"/>
    <n v="1"/>
    <n v="1"/>
    <n v="100"/>
    <s v="SEM 19"/>
    <s v="May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96728"/>
    <s v="RUBBER REPAIR COMPOU"/>
    <s v="4519505624"/>
    <n v="20"/>
    <s v="Standard"/>
    <s v="X"/>
    <d v="2026-04-24T00:00:00"/>
    <x v="175"/>
    <d v="2026-05-11T00:00:00"/>
    <d v="2026-05-12T00:00:00"/>
    <d v="2026-05-11T00:00:00"/>
    <n v="1"/>
    <n v="1"/>
    <n v="100"/>
    <s v="SEM 20"/>
    <s v="May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96728"/>
    <s v="RUBBER REPAIR COMPOU"/>
    <s v="4519508569"/>
    <n v="20"/>
    <s v="Standard"/>
    <s v="X"/>
    <d v="2026-04-25T00:00:00"/>
    <x v="175"/>
    <d v="2026-05-11T00:00:00"/>
    <d v="2026-05-12T00:00:00"/>
    <d v="2026-05-11T00:00:00"/>
    <n v="1"/>
    <n v="1"/>
    <n v="100"/>
    <s v="SEM 20"/>
    <s v="May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96728"/>
    <s v="RUBBER REPAIR COMPOU"/>
    <s v="4519539050"/>
    <n v="50"/>
    <s v="Standard"/>
    <s v="X"/>
    <d v="2026-05-02T00:00:00"/>
    <x v="65"/>
    <d v="2026-05-20T00:00:00"/>
    <d v="2026-05-20T00:00:00"/>
    <d v="2026-05-20T00:00:00"/>
    <n v="1"/>
    <n v="1"/>
    <n v="100"/>
    <s v="SEM 21"/>
    <s v="May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96728"/>
    <s v="RUBBER REPAIR COMPOU"/>
    <s v="4519626179"/>
    <n v="10"/>
    <s v="Standard"/>
    <s v="X"/>
    <d v="2026-05-19T00:00:00"/>
    <x v="176"/>
    <d v="2026-06-08T00:00:00"/>
    <d v="2026-06-06T00:00:00"/>
    <d v="2026-06-08T00:00:00"/>
    <n v="1"/>
    <n v="0"/>
    <n v="0"/>
    <s v="SEM 23"/>
    <s v="Jun-2026"/>
    <x v="0"/>
    <n v="-2"/>
    <x v="1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96728"/>
    <s v="RUBBER REPAIR COMPOU"/>
    <s v="4519673694"/>
    <n v="42"/>
    <s v="Standard"/>
    <s v="X"/>
    <d v="2026-05-30T00:00:00"/>
    <x v="64"/>
    <d v="2026-06-12T00:00:00"/>
    <d v="2026-06-17T00:00:00"/>
    <d v="2026-06-12T00:00:00"/>
    <n v="1"/>
    <n v="1"/>
    <n v="100"/>
    <s v="SEM 25"/>
    <s v="Jun-2026"/>
    <x v="0"/>
    <n v="5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96728"/>
    <s v="RUBBER REPAIR COMPOU"/>
    <s v="4519705202"/>
    <n v="30"/>
    <s v="Standard"/>
    <s v="X"/>
    <d v="2026-06-05T00:00:00"/>
    <x v="68"/>
    <d v="2026-06-23T00:00:00"/>
    <d v="2026-06-23T00:00:00"/>
    <d v="2026-06-23T00:00:00"/>
    <n v="1"/>
    <n v="1"/>
    <n v="100"/>
    <s v="SEM 26"/>
    <s v="Jun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96728"/>
    <s v="RUBBER REPAIR COMPOU"/>
    <s v="4519773390"/>
    <n v="60"/>
    <s v="Standard"/>
    <s v="X"/>
    <d v="2026-06-20T00:00:00"/>
    <x v="177"/>
    <d v="2026-07-07T00:00:00"/>
    <d v="2026-07-07T00:00:00"/>
    <d v="2026-07-07T00:00:00"/>
    <n v="1"/>
    <n v="1"/>
    <n v="100"/>
    <s v="SEM 28"/>
    <s v="Jul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96728"/>
    <s v="RUBBER REPAIR COMPOU"/>
    <s v="4520046542"/>
    <n v="14"/>
    <s v="Standard"/>
    <s v="#"/>
    <d v="2026-08-14T00:00:00"/>
    <x v="178"/>
    <s v="#"/>
    <d v="2026-09-01T00:00:00"/>
    <d v="2026-08-14T00:00:00"/>
    <n v="1"/>
    <n v="0"/>
    <n v="0"/>
    <s v="SEM 36"/>
    <s v="Sep-2026"/>
    <x v="2"/>
    <n v="1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496728"/>
    <s v="RUBBER REPAIR COMPOU"/>
    <s v="4520049157"/>
    <n v="60"/>
    <s v="Standard"/>
    <s v="#"/>
    <d v="2026-08-15T00:00:00"/>
    <x v="179"/>
    <s v="#"/>
    <d v="2026-09-02T00:00:00"/>
    <d v="2026-08-15T00:00:00"/>
    <n v="1"/>
    <n v="0"/>
    <n v="0"/>
    <s v="SEM 36"/>
    <s v="Sep-2026"/>
    <x v="2"/>
    <n v="15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564923"/>
    <s v="FILTER ELEMENT,DONAL"/>
    <s v="4518862621"/>
    <n v="1"/>
    <s v="Standard"/>
    <s v="X"/>
    <d v="2025-11-26T00:00:00"/>
    <x v="180"/>
    <d v="2026-03-02T00:00:00"/>
    <d v="2026-03-21T00:00:00"/>
    <d v="2026-03-02T00:00:00"/>
    <n v="1"/>
    <n v="1"/>
    <n v="100"/>
    <s v="SEM 12"/>
    <s v="Mar-2026"/>
    <x v="0"/>
    <n v="19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622544"/>
    <s v="WASHER,FLAT,M16,RUSS"/>
    <s v="4519820217"/>
    <n v="32"/>
    <s v="Standard"/>
    <s v="#"/>
    <d v="2026-06-29T00:00:00"/>
    <x v="181"/>
    <s v="#"/>
    <d v="2026-10-25T00:00:00"/>
    <d v="2026-06-29T00:00:00"/>
    <n v="1"/>
    <n v="0"/>
    <n v="0"/>
    <s v="SEM 44"/>
    <s v="Oct-2026"/>
    <x v="2"/>
    <n v="68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834963"/>
    <s v="LIGHT,INSTRUMENT,YLW"/>
    <s v="4519337155"/>
    <n v="1"/>
    <s v="Standard"/>
    <s v="X"/>
    <d v="2026-03-18T00:00:00"/>
    <x v="182"/>
    <d v="2026-04-01T00:00:00"/>
    <d v="2026-04-20T00:00:00"/>
    <d v="2026-04-01T00:00:00"/>
    <n v="1"/>
    <n v="1"/>
    <n v="100"/>
    <s v="SEM 17"/>
    <s v="Apr-2026"/>
    <x v="0"/>
    <n v="19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834963"/>
    <s v="LIGHT,INSTRUMENT,YLW"/>
    <s v="4519389027"/>
    <n v="1"/>
    <s v="Standard"/>
    <s v="X"/>
    <d v="2026-03-30T00:00:00"/>
    <x v="183"/>
    <d v="2026-04-13T00:00:00"/>
    <d v="2026-05-02T00:00:00"/>
    <d v="2026-04-13T00:00:00"/>
    <n v="1"/>
    <n v="1"/>
    <n v="100"/>
    <s v="SEM 18"/>
    <s v="May-2026"/>
    <x v="0"/>
    <n v="19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834963"/>
    <s v="LIGHT,INSTRUMENT,YLW"/>
    <s v="4519409763"/>
    <n v="1"/>
    <s v="Standard"/>
    <s v="X"/>
    <d v="2026-04-03T00:00:00"/>
    <x v="141"/>
    <d v="2026-05-04T00:00:00"/>
    <d v="2026-05-06T00:00:00"/>
    <d v="2026-05-04T00:00:00"/>
    <n v="1"/>
    <n v="1"/>
    <n v="100"/>
    <s v="SEM 19"/>
    <s v="May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834963"/>
    <s v="LIGHT,INSTRUMENT,YLW"/>
    <s v="4519497835"/>
    <n v="1"/>
    <s v="Standard"/>
    <s v="X"/>
    <d v="2026-04-22T00:00:00"/>
    <x v="63"/>
    <d v="2026-05-06T00:00:00"/>
    <d v="2026-05-25T00:00:00"/>
    <d v="2026-05-06T00:00:00"/>
    <n v="1"/>
    <n v="1"/>
    <n v="100"/>
    <s v="SEM 22"/>
    <s v="May-2026"/>
    <x v="0"/>
    <n v="19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834963"/>
    <s v="LIGHT,INSTRUMENT,YLW"/>
    <s v="4519555462"/>
    <n v="3"/>
    <s v="Standard"/>
    <s v="X"/>
    <d v="2026-05-05T00:00:00"/>
    <x v="184"/>
    <d v="2026-06-01T00:00:00"/>
    <d v="2026-06-07T00:00:00"/>
    <d v="2026-06-01T00:00:00"/>
    <n v="1"/>
    <n v="1"/>
    <n v="100"/>
    <s v="SEM 24"/>
    <s v="Jun-2026"/>
    <x v="0"/>
    <n v="6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834963"/>
    <s v="LIGHT,INSTRUMENT,YLW"/>
    <s v="4519867123"/>
    <n v="4"/>
    <s v="Standard"/>
    <s v="#"/>
    <d v="2026-07-08T00:00:00"/>
    <x v="142"/>
    <d v="2026-08-03T00:00:00"/>
    <d v="2026-08-10T00:00:00"/>
    <d v="2026-07-08T00:00:00"/>
    <n v="1"/>
    <n v="0"/>
    <n v="0"/>
    <s v="SEM 33"/>
    <s v="Aug-2026"/>
    <x v="1"/>
    <n v="-8"/>
    <x v="1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839328"/>
    <s v="SEAL,PLAIN,RBR,35 (+"/>
    <s v="4519435161"/>
    <n v="2"/>
    <s v="Standard"/>
    <s v="X"/>
    <d v="2026-04-09T00:00:00"/>
    <x v="175"/>
    <d v="2026-05-08T00:00:00"/>
    <d v="2026-05-12T00:00:00"/>
    <d v="2026-05-08T00:00:00"/>
    <n v="1"/>
    <n v="1"/>
    <n v="100"/>
    <s v="SEM 20"/>
    <s v="May-2026"/>
    <x v="0"/>
    <n v="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839328"/>
    <s v="SEAL,PLAIN,RBR,35 (+"/>
    <s v="4519658400"/>
    <n v="2"/>
    <s v="Standard"/>
    <s v="X"/>
    <d v="2026-05-26T00:00:00"/>
    <x v="185"/>
    <d v="2026-06-16T00:00:00"/>
    <d v="2026-06-28T00:00:00"/>
    <d v="2026-06-16T00:00:00"/>
    <n v="1"/>
    <n v="1"/>
    <n v="100"/>
    <s v="SEM 27"/>
    <s v="Jun-2026"/>
    <x v="0"/>
    <n v="1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864456"/>
    <s v="SHOWER ASSY,DECONTAM"/>
    <s v="4518841799"/>
    <n v="1"/>
    <s v="Standard"/>
    <s v="X"/>
    <d v="2025-11-20T00:00:00"/>
    <x v="33"/>
    <d v="2026-01-02T00:00:00"/>
    <d v="2026-01-22T00:00:00"/>
    <d v="2026-01-02T00:00:00"/>
    <n v="1"/>
    <n v="1"/>
    <n v="100"/>
    <s v="SEM 4"/>
    <s v="Jan-2026"/>
    <x v="0"/>
    <n v="2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864456"/>
    <s v="SHOWER ASSY,DECONTAM"/>
    <s v="4518869011"/>
    <n v="2"/>
    <s v="Standard"/>
    <s v="X"/>
    <d v="2025-11-27T00:00:00"/>
    <x v="162"/>
    <d v="2026-01-02T00:00:00"/>
    <d v="2026-01-15T00:00:00"/>
    <d v="2026-01-02T00:00:00"/>
    <n v="1"/>
    <n v="1"/>
    <n v="100"/>
    <s v="SEM 5"/>
    <s v="Jan-2026"/>
    <x v="0"/>
    <n v="2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864456"/>
    <s v="SHOWER ASSY,DECONTAM"/>
    <s v="4519325298"/>
    <n v="2"/>
    <s v="Standard"/>
    <s v="X"/>
    <d v="2026-03-16T00:00:00"/>
    <x v="186"/>
    <d v="2026-05-08T00:00:00"/>
    <d v="2026-05-18T00:00:00"/>
    <d v="2026-05-08T00:00:00"/>
    <n v="1"/>
    <n v="1"/>
    <n v="100"/>
    <s v="SEM 21"/>
    <s v="May-2026"/>
    <x v="0"/>
    <n v="1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882568"/>
    <s v="BOLT,RIBBED NECK,MEC"/>
    <s v="4519021346"/>
    <n v="18"/>
    <s v="Standard"/>
    <s v="X"/>
    <d v="2026-01-05T00:00:00"/>
    <x v="187"/>
    <d v="2026-01-09T00:00:00"/>
    <d v="2026-01-28T00:00:00"/>
    <d v="2026-01-09T00:00:00"/>
    <n v="1"/>
    <n v="1"/>
    <n v="100"/>
    <s v="SEM 5"/>
    <s v="Jan-2026"/>
    <x v="0"/>
    <n v="19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882568"/>
    <s v="BOLT,RIBBED NECK,MEC"/>
    <s v="4519303478"/>
    <n v="18"/>
    <s v="Standard"/>
    <s v="X"/>
    <d v="2026-03-11T00:00:00"/>
    <x v="124"/>
    <d v="2026-04-01T00:00:00"/>
    <d v="2026-04-03T00:00:00"/>
    <d v="2026-04-01T00:00:00"/>
    <n v="1"/>
    <n v="1"/>
    <n v="100"/>
    <s v="SEM 14"/>
    <s v="Apr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882568"/>
    <s v="BOLT,RIBBED NECK,MEC"/>
    <s v="4519556918"/>
    <n v="6"/>
    <s v="Standard"/>
    <s v="X"/>
    <d v="2026-05-06T00:00:00"/>
    <x v="156"/>
    <d v="2026-05-14T00:00:00"/>
    <d v="2026-05-28T00:00:00"/>
    <d v="2026-05-14T00:00:00"/>
    <n v="1"/>
    <n v="1"/>
    <n v="100"/>
    <s v="SEM 22"/>
    <s v="May-2026"/>
    <x v="0"/>
    <n v="1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883661"/>
    <s v="SEAL,RBR CHANNEL,104"/>
    <s v="4519010174"/>
    <n v="3"/>
    <s v="Standard"/>
    <s v="X"/>
    <d v="2026-01-02T00:00:00"/>
    <x v="98"/>
    <d v="2026-01-12T00:00:00"/>
    <d v="2026-01-30T00:00:00"/>
    <d v="2026-01-12T00:00:00"/>
    <n v="1"/>
    <n v="1"/>
    <n v="100"/>
    <s v="SEM 5"/>
    <s v="Jan-2026"/>
    <x v="0"/>
    <n v="18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883661"/>
    <s v="SEAL,RBR CHANNEL,104"/>
    <s v="4519620301"/>
    <n v="1"/>
    <s v="Standard"/>
    <s v="X"/>
    <d v="2026-05-18T00:00:00"/>
    <x v="145"/>
    <d v="2026-06-02T00:00:00"/>
    <d v="2026-06-15T00:00:00"/>
    <d v="2026-06-02T00:00:00"/>
    <n v="1"/>
    <n v="1"/>
    <n v="100"/>
    <s v="SEM 25"/>
    <s v="Jun-2026"/>
    <x v="0"/>
    <n v="1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883662"/>
    <s v="SEAL,RBR CHANNEL,104"/>
    <s v="4519903947"/>
    <n v="2"/>
    <s v="Standard"/>
    <s v="X"/>
    <d v="2026-07-15T00:00:00"/>
    <x v="188"/>
    <d v="2026-08-03T00:00:00"/>
    <d v="2026-08-17T00:00:00"/>
    <d v="2026-08-03T00:00:00"/>
    <n v="1"/>
    <n v="1"/>
    <n v="100"/>
    <s v="SEM 34"/>
    <s v="Aug-2026"/>
    <x v="0"/>
    <n v="1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925260"/>
    <s v="RUPTURE DISK,6IN DIA"/>
    <s v="4519280125"/>
    <n v="14"/>
    <s v="Standard"/>
    <s v="X"/>
    <d v="2026-03-06T00:00:00"/>
    <x v="189"/>
    <d v="2026-04-02T00:00:00"/>
    <d v="2026-03-13T00:00:00"/>
    <d v="2026-04-02T00:00:00"/>
    <n v="1"/>
    <n v="1"/>
    <n v="100"/>
    <s v="SEM 18"/>
    <s v="Apr-2026"/>
    <x v="0"/>
    <n v="26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0985214"/>
    <s v="LINER,WEAR,MTL,WIL,7"/>
    <s v="4518873239"/>
    <n v="11"/>
    <s v="Standard"/>
    <s v="X"/>
    <d v="2025-11-28T00:00:00"/>
    <x v="190"/>
    <d v="2026-01-16T00:00:00"/>
    <d v="2026-01-10T00:00:00"/>
    <d v="2026-01-16T00:00:00"/>
    <n v="1"/>
    <n v="0"/>
    <n v="0"/>
    <s v="SEM 2"/>
    <s v="Jan-2026"/>
    <x v="0"/>
    <n v="-6"/>
    <x v="1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010943"/>
    <s v="FILTER,FLUID,FUEL,IN"/>
    <s v="4519030143"/>
    <n v="47"/>
    <s v="Standard"/>
    <s v="X"/>
    <d v="2026-01-07T00:00:00"/>
    <x v="98"/>
    <d v="2026-04-28T00:00:00"/>
    <d v="2026-01-30T00:00:00"/>
    <d v="2026-03-17T00:00:00"/>
    <n v="1"/>
    <n v="0"/>
    <n v="0"/>
    <s v="SEM 5"/>
    <s v="Jan-2026"/>
    <x v="0"/>
    <n v="-88"/>
    <x v="1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010943"/>
    <s v="FILTER,FLUID,FUEL,IN"/>
    <s v="4519354592"/>
    <n v="36"/>
    <s v="Standard"/>
    <s v="X"/>
    <d v="2026-03-23T00:00:00"/>
    <x v="174"/>
    <d v="2026-06-05T00:00:00"/>
    <d v="2026-04-15T00:00:00"/>
    <d v="2026-03-26T00:00:00"/>
    <n v="1"/>
    <n v="0"/>
    <n v="0"/>
    <s v="SEM 16"/>
    <s v="Apr-2026"/>
    <x v="0"/>
    <n v="-51"/>
    <x v="1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010943"/>
    <s v="FILTER,FLUID,FUEL,IN"/>
    <s v="4520054315"/>
    <n v="1"/>
    <s v="Standard"/>
    <s v="#"/>
    <d v="2026-08-17T00:00:00"/>
    <x v="148"/>
    <s v="#"/>
    <d v="2026-09-09T00:00:00"/>
    <d v="2026-08-17T00:00:00"/>
    <n v="1"/>
    <n v="0"/>
    <n v="0"/>
    <s v="SEM 37"/>
    <s v="Sep-2026"/>
    <x v="2"/>
    <n v="2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053795"/>
    <s v="HOSE KIT,RUSSELL 12R"/>
    <s v="4518526103"/>
    <n v="1"/>
    <s v="Standard"/>
    <s v="X"/>
    <d v="2025-09-10T00:00:00"/>
    <x v="84"/>
    <d v="2026-01-02T00:00:00"/>
    <d v="2026-01-06T00:00:00"/>
    <d v="2026-01-02T00:00:00"/>
    <n v="1"/>
    <n v="1"/>
    <n v="100"/>
    <s v="SEM 2"/>
    <s v="Jan-2026"/>
    <x v="0"/>
    <n v="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053795"/>
    <s v="HOSE KIT,RUSSELL 12R"/>
    <s v="4518906643"/>
    <n v="1"/>
    <s v="Standard"/>
    <s v="X"/>
    <d v="2025-12-07T00:00:00"/>
    <x v="152"/>
    <d v="2026-04-01T00:00:00"/>
    <d v="2026-04-04T00:00:00"/>
    <d v="2026-04-01T00:00:00"/>
    <n v="1"/>
    <n v="1"/>
    <n v="100"/>
    <s v="SEM 14"/>
    <s v="Apr-2026"/>
    <x v="0"/>
    <n v="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092500"/>
    <s v="SHIM,TMAS,SS,GDE 304"/>
    <s v="4519636754"/>
    <n v="14"/>
    <s v="Standard"/>
    <s v="X"/>
    <d v="2026-05-21T00:00:00"/>
    <x v="68"/>
    <d v="2026-06-23T00:00:00"/>
    <d v="2026-06-23T00:00:00"/>
    <d v="2026-06-23T00:00:00"/>
    <n v="1"/>
    <n v="1"/>
    <n v="100"/>
    <s v="SEM 26"/>
    <s v="Jun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131517"/>
    <s v="SCRAPER,RTN,CONTINEN"/>
    <s v="4519048731"/>
    <n v="1"/>
    <s v="Standard"/>
    <s v="X"/>
    <d v="2026-01-12T00:00:00"/>
    <x v="191"/>
    <d v="2026-02-03T00:00:00"/>
    <d v="2026-02-18T00:00:00"/>
    <d v="2026-02-03T00:00:00"/>
    <n v="1"/>
    <n v="1"/>
    <n v="100"/>
    <s v="SEM 8"/>
    <s v="Feb-2026"/>
    <x v="0"/>
    <n v="15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131517"/>
    <s v="SCRAPER,RTN,CONTINEN"/>
    <s v="4519941426"/>
    <n v="1"/>
    <s v="Standard"/>
    <s v="#"/>
    <d v="2026-07-23T00:00:00"/>
    <x v="128"/>
    <s v="#"/>
    <d v="2026-08-30T00:00:00"/>
    <d v="2026-07-23T00:00:00"/>
    <n v="1"/>
    <n v="0"/>
    <n v="0"/>
    <s v="SEM 36"/>
    <s v="Aug-2026"/>
    <x v="2"/>
    <n v="1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131517"/>
    <s v="SCRAPER,RTN,CONTINEN"/>
    <s v="4519973603"/>
    <n v="1"/>
    <s v="Standard"/>
    <s v="#"/>
    <d v="2026-07-30T00:00:00"/>
    <x v="137"/>
    <s v="#"/>
    <d v="2026-09-06T00:00:00"/>
    <d v="2026-07-30T00:00:00"/>
    <n v="1"/>
    <n v="0"/>
    <n v="0"/>
    <s v="SEM 37"/>
    <s v="Sep-2026"/>
    <x v="2"/>
    <n v="19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136946"/>
    <s v="BASE,TYP H,ANTOPART"/>
    <s v="4519608128"/>
    <n v="6"/>
    <s v="Standard"/>
    <s v="X"/>
    <d v="2026-05-16T00:00:00"/>
    <x v="135"/>
    <d v="2026-06-12T00:00:00"/>
    <d v="2026-06-13T00:00:00"/>
    <d v="2026-06-12T00:00:00"/>
    <n v="1"/>
    <n v="1"/>
    <n v="100"/>
    <s v="SEM 24"/>
    <s v="Jun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136946"/>
    <s v="BASE,TYP H,ANTOPART"/>
    <s v="4519706624"/>
    <n v="4"/>
    <s v="Standard"/>
    <s v="X"/>
    <d v="2026-06-06T00:00:00"/>
    <x v="93"/>
    <d v="2026-07-03T00:00:00"/>
    <d v="2026-07-04T00:00:00"/>
    <d v="2026-07-03T00:00:00"/>
    <n v="1"/>
    <n v="1"/>
    <n v="100"/>
    <s v="SEM 27"/>
    <s v="Jul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140236"/>
    <s v="BOLT,FLUTEK R0018000"/>
    <s v="4519947264"/>
    <n v="12"/>
    <s v="Standard"/>
    <s v="#"/>
    <d v="2026-07-25T00:00:00"/>
    <x v="31"/>
    <s v="#"/>
    <d v="2026-10-05T00:00:00"/>
    <d v="2026-07-25T00:00:00"/>
    <n v="1"/>
    <n v="0"/>
    <n v="0"/>
    <s v="SEM 41"/>
    <s v="Oct-2026"/>
    <x v="2"/>
    <n v="48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140236"/>
    <s v="BOLT,FLUTEK R0018000"/>
    <s v="4519950224"/>
    <n v="16"/>
    <s v="Standard"/>
    <s v="#"/>
    <d v="2026-07-26T00:00:00"/>
    <x v="192"/>
    <s v="#"/>
    <d v="2026-10-07T00:00:00"/>
    <d v="2026-07-26T00:00:00"/>
    <n v="1"/>
    <n v="0"/>
    <n v="0"/>
    <s v="SEM 41"/>
    <s v="Oct-2026"/>
    <x v="2"/>
    <n v="5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153589"/>
    <s v="FLOODLIGHT,LED,120W,"/>
    <s v="4519388676"/>
    <n v="15"/>
    <s v="Standard"/>
    <s v="X"/>
    <d v="2026-03-30T00:00:00"/>
    <x v="81"/>
    <d v="2026-04-22T00:00:00"/>
    <d v="2026-04-27T00:00:00"/>
    <d v="2026-04-22T00:00:00"/>
    <n v="1"/>
    <n v="1"/>
    <n v="100"/>
    <s v="SEM 18"/>
    <s v="Apr-2026"/>
    <x v="0"/>
    <n v="5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197564"/>
    <s v="REEL &amp; HOSE ASSY,LAY"/>
    <s v="4518913137"/>
    <n v="74"/>
    <s v="Standard"/>
    <s v="X"/>
    <d v="2025-12-08T00:00:00"/>
    <x v="190"/>
    <d v="2026-01-10T00:00:00"/>
    <d v="2026-01-10T00:00:00"/>
    <d v="2025-12-10T00:00:00"/>
    <n v="1"/>
    <n v="1"/>
    <n v="100"/>
    <s v="SEM 2"/>
    <s v="Jan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197564"/>
    <s v="REEL &amp; HOSE ASSY,LAY"/>
    <s v="4519107667"/>
    <n v="80"/>
    <s v="Standard"/>
    <s v="X"/>
    <d v="2026-01-26T00:00:00"/>
    <x v="27"/>
    <d v="2026-02-27T00:00:00"/>
    <d v="2026-02-28T00:00:00"/>
    <d v="2026-02-27T00:00:00"/>
    <n v="1"/>
    <n v="1"/>
    <n v="100"/>
    <s v="SEM 9"/>
    <s v="Feb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197564"/>
    <s v="REEL &amp; HOSE ASSY,LAY"/>
    <s v="4520041412"/>
    <n v="32"/>
    <s v="Standard"/>
    <s v="#"/>
    <d v="2026-08-13T00:00:00"/>
    <x v="150"/>
    <s v="#"/>
    <d v="2026-09-15T00:00:00"/>
    <d v="2026-08-13T00:00:00"/>
    <n v="1"/>
    <n v="0"/>
    <n v="0"/>
    <s v="SEM 38"/>
    <s v="Sep-2026"/>
    <x v="2"/>
    <n v="28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197588"/>
    <s v="REEL &amp; HOSE ASSY,LAY"/>
    <s v="4519766397"/>
    <n v="8"/>
    <s v="Standard"/>
    <s v="X"/>
    <d v="2026-06-18T00:00:00"/>
    <x v="164"/>
    <d v="2026-07-08T00:00:00"/>
    <d v="2026-07-20T00:00:00"/>
    <d v="2026-07-08T00:00:00"/>
    <n v="1"/>
    <n v="1"/>
    <n v="100"/>
    <s v="SEM 30"/>
    <s v="Jul-2026"/>
    <x v="0"/>
    <n v="1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197588"/>
    <s v="REEL &amp; HOSE ASSY,LAY"/>
    <s v="4519908264"/>
    <n v="50"/>
    <s v="Standard"/>
    <s v="X"/>
    <d v="2026-07-16T00:00:00"/>
    <x v="51"/>
    <d v="2026-08-10T00:00:00"/>
    <d v="2026-08-18T00:00:00"/>
    <d v="2026-07-17T00:00:00"/>
    <n v="1"/>
    <n v="1"/>
    <n v="100"/>
    <s v="SEM 34"/>
    <s v="Aug-2026"/>
    <x v="0"/>
    <n v="8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198310"/>
    <s v="TAPE,ORG,10IN W,IMPO"/>
    <s v="4519412415"/>
    <n v="6"/>
    <s v="Standard"/>
    <s v="X"/>
    <d v="2026-04-04T00:00:00"/>
    <x v="81"/>
    <d v="2026-04-13T00:00:00"/>
    <d v="2026-04-27T00:00:00"/>
    <d v="2026-04-13T00:00:00"/>
    <n v="1"/>
    <n v="1"/>
    <n v="100"/>
    <s v="SEM 18"/>
    <s v="Apr-2026"/>
    <x v="0"/>
    <n v="1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198310"/>
    <s v="TAPE,ORG,10IN W,IMPO"/>
    <s v="4519436188"/>
    <n v="4"/>
    <s v="Standard"/>
    <s v="X"/>
    <d v="2026-04-10T00:00:00"/>
    <x v="183"/>
    <d v="2026-04-24T00:00:00"/>
    <d v="2026-05-02T00:00:00"/>
    <d v="2026-04-24T00:00:00"/>
    <n v="1"/>
    <n v="1"/>
    <n v="100"/>
    <s v="SEM 18"/>
    <s v="May-2026"/>
    <x v="0"/>
    <n v="8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198310"/>
    <s v="TAPE,ORG,10IN W,IMPO"/>
    <s v="4519504048"/>
    <n v="3"/>
    <s v="Standard"/>
    <s v="X"/>
    <d v="2026-04-24T00:00:00"/>
    <x v="193"/>
    <d v="2026-05-08T00:00:00"/>
    <d v="2026-05-16T00:00:00"/>
    <d v="2026-05-08T00:00:00"/>
    <n v="1"/>
    <n v="1"/>
    <n v="100"/>
    <s v="SEM 20"/>
    <s v="May-2026"/>
    <x v="0"/>
    <n v="8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214025"/>
    <s v="ADHESIVE,VINYL,YLW,A"/>
    <s v="4519423588"/>
    <n v="8"/>
    <s v="Standard"/>
    <s v="X"/>
    <d v="2026-04-07T00:00:00"/>
    <x v="5"/>
    <d v="2026-04-16T00:00:00"/>
    <d v="2026-04-30T00:00:00"/>
    <d v="2026-04-16T00:00:00"/>
    <n v="1"/>
    <n v="1"/>
    <n v="100"/>
    <s v="SEM 18"/>
    <s v="Apr-2026"/>
    <x v="0"/>
    <n v="1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223321"/>
    <s v="SLEEPER,CMLCOMER 300"/>
    <s v="4518999321"/>
    <n v="17"/>
    <s v="Standard"/>
    <s v="X"/>
    <d v="2025-12-31T00:00:00"/>
    <x v="194"/>
    <d v="2026-02-02T00:00:00"/>
    <d v="2026-02-02T00:00:00"/>
    <d v="2026-02-02T00:00:00"/>
    <n v="1"/>
    <n v="1"/>
    <n v="100"/>
    <s v="SEM 6"/>
    <s v="Feb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223321"/>
    <s v="SLEEPER,CMLCOMER 300"/>
    <s v="4519236684"/>
    <n v="41"/>
    <s v="Standard"/>
    <s v="X"/>
    <d v="2026-02-24T00:00:00"/>
    <x v="49"/>
    <d v="2026-03-13T00:00:00"/>
    <d v="2026-03-29T00:00:00"/>
    <d v="2026-03-13T00:00:00"/>
    <n v="1"/>
    <n v="1"/>
    <n v="100"/>
    <s v="SEM 14"/>
    <s v="Mar-2026"/>
    <x v="0"/>
    <n v="16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223321"/>
    <s v="SLEEPER,CMLCOMER 300"/>
    <s v="4519236821"/>
    <n v="13"/>
    <s v="Standard"/>
    <s v="X"/>
    <d v="2026-02-24T00:00:00"/>
    <x v="49"/>
    <d v="2026-03-13T00:00:00"/>
    <d v="2026-03-29T00:00:00"/>
    <d v="2026-03-13T00:00:00"/>
    <n v="1"/>
    <n v="1"/>
    <n v="100"/>
    <s v="SEM 14"/>
    <s v="Mar-2026"/>
    <x v="0"/>
    <n v="16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223321"/>
    <s v="SLEEPER,CMLCOMER 300"/>
    <s v="4519394502"/>
    <n v="94"/>
    <s v="Standard"/>
    <s v="X"/>
    <d v="2026-03-31T00:00:00"/>
    <x v="131"/>
    <d v="2026-04-23T00:00:00"/>
    <d v="2026-05-03T00:00:00"/>
    <d v="2026-04-23T00:00:00"/>
    <n v="1"/>
    <n v="1"/>
    <n v="100"/>
    <s v="SEM 19"/>
    <s v="May-2026"/>
    <x v="0"/>
    <n v="1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223321"/>
    <s v="SLEEPER,CMLCOMER 300"/>
    <s v="4519596472"/>
    <n v="58"/>
    <s v="Standard"/>
    <s v="X"/>
    <d v="2026-05-13T00:00:00"/>
    <x v="145"/>
    <d v="2026-06-03T00:00:00"/>
    <d v="2026-06-15T00:00:00"/>
    <d v="2026-06-03T00:00:00"/>
    <n v="1"/>
    <n v="1"/>
    <n v="100"/>
    <s v="SEM 25"/>
    <s v="Jun-2026"/>
    <x v="0"/>
    <n v="1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223321"/>
    <s v="SLEEPER,CMLCOMER 300"/>
    <s v="4519822425"/>
    <n v="31"/>
    <s v="Standard"/>
    <s v="X"/>
    <d v="2026-06-30T00:00:00"/>
    <x v="38"/>
    <d v="2026-07-21T00:00:00"/>
    <d v="2026-08-02T00:00:00"/>
    <d v="2026-07-21T00:00:00"/>
    <n v="1"/>
    <n v="1"/>
    <n v="100"/>
    <s v="SEM 32"/>
    <s v="Aug-2026"/>
    <x v="0"/>
    <n v="1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244770"/>
    <s v="TIMBER,SOFTWOOD,DRAW"/>
    <s v="4518997106"/>
    <n v="135"/>
    <s v="Standard"/>
    <s v="X"/>
    <d v="2025-12-30T00:00:00"/>
    <x v="77"/>
    <d v="2026-01-15T00:00:00"/>
    <d v="2026-02-01T00:00:00"/>
    <d v="2026-01-15T00:00:00"/>
    <n v="1"/>
    <n v="1"/>
    <n v="100"/>
    <s v="SEM 6"/>
    <s v="Feb-2026"/>
    <x v="0"/>
    <n v="17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244770"/>
    <s v="TIMBER,SOFTWOOD,DRAW"/>
    <s v="4519008970"/>
    <n v="151"/>
    <s v="Standard"/>
    <s v="X"/>
    <d v="2026-01-02T00:00:00"/>
    <x v="85"/>
    <d v="2026-02-03T00:00:00"/>
    <d v="2026-02-04T00:00:00"/>
    <d v="2026-02-03T00:00:00"/>
    <n v="1"/>
    <n v="1"/>
    <n v="100"/>
    <s v="SEM 6"/>
    <s v="Feb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244770"/>
    <s v="TIMBER,SOFTWOOD,DRAW"/>
    <s v="4519015205"/>
    <n v="50"/>
    <s v="Standard"/>
    <s v="X"/>
    <d v="2026-01-04T00:00:00"/>
    <x v="138"/>
    <d v="2026-02-03T00:00:00"/>
    <d v="2026-02-06T00:00:00"/>
    <d v="2026-02-03T00:00:00"/>
    <n v="1"/>
    <n v="1"/>
    <n v="100"/>
    <s v="SEM 6"/>
    <s v="Feb-2026"/>
    <x v="0"/>
    <n v="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244770"/>
    <s v="TIMBER,SOFTWOOD,DRAW"/>
    <s v="4519035276"/>
    <n v="30"/>
    <s v="Standard"/>
    <s v="X"/>
    <d v="2026-01-08T00:00:00"/>
    <x v="99"/>
    <d v="2026-02-03T00:00:00"/>
    <d v="2026-02-10T00:00:00"/>
    <d v="2026-02-03T00:00:00"/>
    <n v="1"/>
    <n v="1"/>
    <n v="100"/>
    <s v="SEM 7"/>
    <s v="Feb-2026"/>
    <x v="0"/>
    <n v="7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244770"/>
    <s v="TIMBER,SOFTWOOD,DRAW"/>
    <s v="4519215806"/>
    <n v="20"/>
    <s v="Standard"/>
    <s v="X"/>
    <d v="2026-02-19T00:00:00"/>
    <x v="101"/>
    <d v="2026-03-02T00:00:00"/>
    <d v="2026-03-24T00:00:00"/>
    <d v="2026-03-02T00:00:00"/>
    <n v="1"/>
    <n v="1"/>
    <n v="100"/>
    <s v="SEM 13"/>
    <s v="Mar-2026"/>
    <x v="0"/>
    <n v="2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244770"/>
    <s v="TIMBER,SOFTWOOD,DRAW"/>
    <s v="4519739576"/>
    <n v="95"/>
    <s v="Standard"/>
    <s v="X"/>
    <d v="2026-06-12T00:00:00"/>
    <x v="19"/>
    <d v="2026-07-06T00:00:00"/>
    <d v="2026-07-15T00:00:00"/>
    <d v="2026-07-06T00:00:00"/>
    <n v="1"/>
    <n v="1"/>
    <n v="100"/>
    <s v="SEM 29"/>
    <s v="Jul-2026"/>
    <x v="0"/>
    <n v="9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254705"/>
    <s v="PALLET,MATL HANDLING"/>
    <s v="4519003489"/>
    <n v="2"/>
    <s v="Standard"/>
    <s v="X"/>
    <d v="2026-01-01T00:00:00"/>
    <x v="146"/>
    <d v="2026-02-02T00:00:00"/>
    <d v="2026-02-03T00:00:00"/>
    <d v="2026-02-02T00:00:00"/>
    <n v="1"/>
    <n v="1"/>
    <n v="100"/>
    <s v="SEM 6"/>
    <s v="Feb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275101"/>
    <s v="BUSHING,FLAT,ELEC,CM"/>
    <s v="4519319518"/>
    <n v="15"/>
    <s v="Standard"/>
    <s v="X"/>
    <d v="2026-03-15T00:00:00"/>
    <x v="129"/>
    <d v="2026-04-13T00:00:00"/>
    <d v="2026-08-15T00:00:00"/>
    <d v="2026-04-13T00:00:00"/>
    <n v="1"/>
    <n v="1"/>
    <n v="100"/>
    <s v="SEM 33"/>
    <s v="Aug-2026"/>
    <x v="0"/>
    <n v="12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319354"/>
    <s v="FLASHLIGHT,1 X AA BA"/>
    <s v="4519006937"/>
    <n v="5"/>
    <s v="Standard"/>
    <s v="X"/>
    <d v="2026-01-02T00:00:00"/>
    <x v="195"/>
    <d v="2026-01-09T00:00:00"/>
    <d v="2026-01-24T00:00:00"/>
    <d v="2026-01-09T00:00:00"/>
    <n v="1"/>
    <n v="1"/>
    <n v="100"/>
    <s v="SEM 4"/>
    <s v="Jan-2026"/>
    <x v="0"/>
    <n v="15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319354"/>
    <s v="FLASHLIGHT,1 X AA BA"/>
    <s v="4519013148"/>
    <n v="84"/>
    <s v="Standard"/>
    <s v="X"/>
    <d v="2026-01-03T00:00:00"/>
    <x v="162"/>
    <d v="2026-01-09T00:00:00"/>
    <d v="2026-01-26T00:00:00"/>
    <d v="2026-01-09T00:00:00"/>
    <n v="1"/>
    <n v="1"/>
    <n v="100"/>
    <s v="SEM 5"/>
    <s v="Jan-2026"/>
    <x v="0"/>
    <n v="17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319354"/>
    <s v="FLASHLIGHT,1 X AA BA"/>
    <s v="4519051775"/>
    <n v="89"/>
    <s v="Standard"/>
    <s v="X"/>
    <d v="2026-01-13T00:00:00"/>
    <x v="120"/>
    <d v="2026-02-02T00:00:00"/>
    <d v="2026-02-05T00:00:00"/>
    <d v="2026-02-02T00:00:00"/>
    <n v="1"/>
    <n v="1"/>
    <n v="100"/>
    <s v="SEM 6"/>
    <s v="Feb-2026"/>
    <x v="0"/>
    <n v="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319354"/>
    <s v="FLASHLIGHT,1 X AA BA"/>
    <s v="4519231213"/>
    <n v="94"/>
    <s v="Standard"/>
    <s v="X"/>
    <d v="2026-02-23T00:00:00"/>
    <x v="92"/>
    <d v="2026-03-09T00:00:00"/>
    <d v="2026-03-18T00:00:00"/>
    <d v="2026-03-09T00:00:00"/>
    <n v="1"/>
    <n v="1"/>
    <n v="100"/>
    <s v="SEM 12"/>
    <s v="Mar-2026"/>
    <x v="0"/>
    <n v="9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319354"/>
    <s v="FLASHLIGHT,1 X AA BA"/>
    <s v="4519367163"/>
    <n v="101"/>
    <s v="Standard"/>
    <s v="X"/>
    <d v="2026-03-25T00:00:00"/>
    <x v="144"/>
    <d v="2026-04-02T00:00:00"/>
    <d v="2026-04-17T00:00:00"/>
    <d v="2026-04-02T00:00:00"/>
    <n v="1"/>
    <n v="1"/>
    <n v="100"/>
    <s v="SEM 16"/>
    <s v="Apr-2026"/>
    <x v="0"/>
    <n v="15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319354"/>
    <s v="FLASHLIGHT,1 X AA BA"/>
    <s v="4519510432"/>
    <n v="89"/>
    <s v="Standard"/>
    <s v="X"/>
    <d v="2026-04-26T00:00:00"/>
    <x v="186"/>
    <d v="2026-05-08T00:00:00"/>
    <d v="2026-05-18T00:00:00"/>
    <d v="2026-05-08T00:00:00"/>
    <n v="1"/>
    <n v="1"/>
    <n v="100"/>
    <s v="SEM 21"/>
    <s v="May-2026"/>
    <x v="0"/>
    <n v="1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319354"/>
    <s v="FLASHLIGHT,1 X AA BA"/>
    <s v="4519920178"/>
    <n v="88"/>
    <s v="Standard"/>
    <s v="X"/>
    <d v="2026-07-20T00:00:00"/>
    <x v="196"/>
    <d v="2026-08-05T00:00:00"/>
    <d v="2026-08-13T00:00:00"/>
    <d v="2026-08-05T00:00:00"/>
    <n v="1"/>
    <n v="1"/>
    <n v="100"/>
    <s v="SEM 33"/>
    <s v="Aug-2026"/>
    <x v="0"/>
    <n v="8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321697"/>
    <s v="GASKET,2IN DIA,3MM T"/>
    <s v="4519190401"/>
    <n v="2"/>
    <s v="Standard"/>
    <s v="X"/>
    <d v="2026-02-13T00:00:00"/>
    <x v="197"/>
    <d v="2026-03-02T00:00:00"/>
    <d v="2026-03-28T00:00:00"/>
    <d v="2026-03-02T00:00:00"/>
    <n v="1"/>
    <n v="1"/>
    <n v="100"/>
    <s v="SEM 13"/>
    <s v="Mar-2026"/>
    <x v="0"/>
    <n v="26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321697"/>
    <s v="GASKET,2IN DIA,3MM T"/>
    <s v="4519260520"/>
    <n v="6"/>
    <s v="Standard"/>
    <s v="X"/>
    <d v="2026-03-02T00:00:00"/>
    <x v="198"/>
    <d v="2026-04-02T00:00:00"/>
    <d v="2026-04-14T00:00:00"/>
    <d v="2026-04-02T00:00:00"/>
    <n v="1"/>
    <n v="1"/>
    <n v="100"/>
    <s v="SEM 16"/>
    <s v="Apr-2026"/>
    <x v="0"/>
    <n v="1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321697"/>
    <s v="GASKET,2IN DIA,3MM T"/>
    <s v="4519378638"/>
    <n v="13"/>
    <s v="Standard"/>
    <s v="X"/>
    <d v="2026-03-27T00:00:00"/>
    <x v="199"/>
    <d v="2026-05-06T00:00:00"/>
    <d v="2026-05-09T00:00:00"/>
    <d v="2026-05-06T00:00:00"/>
    <n v="1"/>
    <n v="1"/>
    <n v="100"/>
    <s v="SEM 19"/>
    <s v="May-2026"/>
    <x v="0"/>
    <n v="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14588"/>
    <s v="ELBOW,PIPE,90DEG,3IN"/>
    <s v="4519631733"/>
    <n v="5"/>
    <s v="Standard"/>
    <s v="X"/>
    <d v="2026-05-20T00:00:00"/>
    <x v="200"/>
    <d v="2026-06-17T00:00:00"/>
    <d v="2026-06-27T00:00:00"/>
    <d v="2026-06-17T00:00:00"/>
    <n v="1"/>
    <n v="1"/>
    <n v="100"/>
    <s v="SEM 26"/>
    <s v="Jun-2026"/>
    <x v="0"/>
    <n v="1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14588"/>
    <s v="ELBOW,PIPE,90DEG,3IN"/>
    <s v="4519695744"/>
    <n v="10"/>
    <s v="Standard"/>
    <s v="X"/>
    <d v="2026-06-03T00:00:00"/>
    <x v="116"/>
    <d v="2026-07-01T00:00:00"/>
    <d v="2026-07-11T00:00:00"/>
    <d v="2026-07-01T00:00:00"/>
    <n v="1"/>
    <n v="1"/>
    <n v="100"/>
    <s v="SEM 28"/>
    <s v="Jul-2026"/>
    <x v="0"/>
    <n v="1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8437656"/>
    <n v="4"/>
    <s v="Standard"/>
    <s v="X"/>
    <d v="2025-08-22T00:00:00"/>
    <x v="57"/>
    <d v="2026-01-02T00:00:00"/>
    <d v="2026-01-12T00:00:00"/>
    <d v="2026-01-02T00:00:00"/>
    <n v="1"/>
    <n v="1"/>
    <n v="100"/>
    <s v="SEM 3"/>
    <s v="Jan-2026"/>
    <x v="0"/>
    <n v="1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8449929"/>
    <n v="4"/>
    <s v="Standard"/>
    <s v="X"/>
    <d v="2025-08-25T00:00:00"/>
    <x v="201"/>
    <d v="2026-01-02T00:00:00"/>
    <d v="2026-01-15T00:00:00"/>
    <d v="2026-01-02T00:00:00"/>
    <n v="1"/>
    <n v="1"/>
    <n v="100"/>
    <s v="SEM 3"/>
    <s v="Jan-2026"/>
    <x v="0"/>
    <n v="1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8455083"/>
    <n v="6"/>
    <s v="Standard"/>
    <s v="X"/>
    <d v="2025-08-26T00:00:00"/>
    <x v="155"/>
    <d v="2026-01-02T00:00:00"/>
    <d v="2026-01-16T00:00:00"/>
    <d v="2026-01-02T00:00:00"/>
    <n v="1"/>
    <n v="1"/>
    <n v="100"/>
    <s v="SEM 3"/>
    <s v="Jan-2026"/>
    <x v="0"/>
    <n v="1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8494906"/>
    <n v="6"/>
    <s v="Standard"/>
    <s v="X"/>
    <d v="2025-09-03T00:00:00"/>
    <x v="195"/>
    <d v="2026-01-02T00:00:00"/>
    <d v="2026-01-24T00:00:00"/>
    <d v="2026-01-02T00:00:00"/>
    <n v="1"/>
    <n v="1"/>
    <n v="100"/>
    <s v="SEM 4"/>
    <s v="Jan-2026"/>
    <x v="0"/>
    <n v="2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8504346"/>
    <n v="4"/>
    <s v="Standard"/>
    <s v="X"/>
    <d v="2025-09-05T00:00:00"/>
    <x v="162"/>
    <d v="2026-01-02T00:00:00"/>
    <d v="2026-01-26T00:00:00"/>
    <d v="2026-01-02T00:00:00"/>
    <n v="1"/>
    <n v="1"/>
    <n v="100"/>
    <s v="SEM 5"/>
    <s v="Jan-2026"/>
    <x v="0"/>
    <n v="2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8605667"/>
    <n v="2"/>
    <s v="Standard"/>
    <s v="X"/>
    <d v="2025-09-29T00:00:00"/>
    <x v="202"/>
    <d v="2026-02-02T00:00:00"/>
    <d v="2026-02-19T00:00:00"/>
    <d v="2026-02-02T00:00:00"/>
    <n v="1"/>
    <n v="1"/>
    <n v="100"/>
    <s v="SEM 8"/>
    <s v="Feb-2026"/>
    <x v="0"/>
    <n v="17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8638474"/>
    <n v="4"/>
    <s v="Standard"/>
    <s v="X"/>
    <d v="2025-10-06T00:00:00"/>
    <x v="203"/>
    <d v="2026-02-02T00:00:00"/>
    <d v="2026-02-26T00:00:00"/>
    <d v="2026-02-02T00:00:00"/>
    <n v="1"/>
    <n v="1"/>
    <n v="100"/>
    <s v="SEM 9"/>
    <s v="Feb-2026"/>
    <x v="0"/>
    <n v="2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8700612"/>
    <n v="2"/>
    <s v="Standard"/>
    <s v="X"/>
    <d v="2025-10-20T00:00:00"/>
    <x v="160"/>
    <d v="2026-03-02T00:00:00"/>
    <d v="2026-03-12T00:00:00"/>
    <d v="2026-03-02T00:00:00"/>
    <n v="1"/>
    <n v="1"/>
    <n v="100"/>
    <s v="SEM 11"/>
    <s v="Mar-2026"/>
    <x v="0"/>
    <n v="1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8750471"/>
    <n v="6"/>
    <s v="Standard"/>
    <s v="X"/>
    <d v="2025-10-31T00:00:00"/>
    <x v="204"/>
    <d v="2026-03-02T00:00:00"/>
    <d v="2026-03-23T00:00:00"/>
    <d v="2026-03-02T00:00:00"/>
    <n v="1"/>
    <n v="1"/>
    <n v="100"/>
    <s v="SEM 13"/>
    <s v="Mar-2026"/>
    <x v="0"/>
    <n v="2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8769351"/>
    <n v="6"/>
    <s v="Standard"/>
    <s v="X"/>
    <d v="2025-11-04T00:00:00"/>
    <x v="205"/>
    <d v="2026-03-02T00:00:00"/>
    <d v="2026-03-27T00:00:00"/>
    <d v="2026-03-02T00:00:00"/>
    <n v="1"/>
    <n v="1"/>
    <n v="100"/>
    <s v="SEM 13"/>
    <s v="Mar-2026"/>
    <x v="0"/>
    <n v="25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8769832"/>
    <n v="4"/>
    <s v="Standard"/>
    <s v="X"/>
    <d v="2025-11-04T00:00:00"/>
    <x v="205"/>
    <d v="2026-03-02T00:00:00"/>
    <d v="2026-03-27T00:00:00"/>
    <d v="2026-03-02T00:00:00"/>
    <n v="1"/>
    <n v="1"/>
    <n v="100"/>
    <s v="SEM 13"/>
    <s v="Mar-2026"/>
    <x v="0"/>
    <n v="25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8816335"/>
    <n v="2"/>
    <s v="Standard"/>
    <s v="X"/>
    <d v="2025-11-14T00:00:00"/>
    <x v="206"/>
    <d v="2026-04-01T00:00:00"/>
    <d v="2026-04-06T00:00:00"/>
    <d v="2026-04-01T00:00:00"/>
    <n v="1"/>
    <n v="1"/>
    <n v="100"/>
    <s v="SEM 15"/>
    <s v="Apr-2026"/>
    <x v="0"/>
    <n v="5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8823776"/>
    <n v="6"/>
    <s v="Standard"/>
    <s v="X"/>
    <d v="2025-11-17T00:00:00"/>
    <x v="47"/>
    <d v="2026-04-01T00:00:00"/>
    <d v="2026-04-09T00:00:00"/>
    <d v="2026-04-01T00:00:00"/>
    <n v="1"/>
    <n v="1"/>
    <n v="100"/>
    <s v="SEM 15"/>
    <s v="Apr-2026"/>
    <x v="0"/>
    <n v="8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8841337"/>
    <n v="2"/>
    <s v="Standard"/>
    <s v="X"/>
    <d v="2025-11-20T00:00:00"/>
    <x v="207"/>
    <d v="2026-04-07T00:00:00"/>
    <d v="2026-04-12T00:00:00"/>
    <d v="2026-04-07T00:00:00"/>
    <n v="1"/>
    <n v="1"/>
    <n v="100"/>
    <s v="SEM 16"/>
    <s v="Apr-2026"/>
    <x v="0"/>
    <n v="5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8852794"/>
    <n v="2"/>
    <s v="Standard"/>
    <s v="X"/>
    <d v="2025-11-24T00:00:00"/>
    <x v="174"/>
    <d v="2026-04-02T00:00:00"/>
    <d v="2026-04-15T00:00:00"/>
    <d v="2026-04-02T00:00:00"/>
    <n v="1"/>
    <n v="1"/>
    <n v="100"/>
    <s v="SEM 16"/>
    <s v="Apr-2026"/>
    <x v="0"/>
    <n v="1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8873377"/>
    <n v="2"/>
    <s v="Standard"/>
    <s v="X"/>
    <d v="2025-11-28T00:00:00"/>
    <x v="182"/>
    <d v="2026-04-07T00:00:00"/>
    <d v="2026-04-20T00:00:00"/>
    <d v="2026-04-07T00:00:00"/>
    <n v="1"/>
    <n v="1"/>
    <n v="100"/>
    <s v="SEM 17"/>
    <s v="Apr-2026"/>
    <x v="0"/>
    <n v="1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8912484"/>
    <n v="2"/>
    <s v="Standard"/>
    <s v="X"/>
    <d v="2025-12-08T00:00:00"/>
    <x v="5"/>
    <d v="2026-04-21T00:00:00"/>
    <d v="2026-04-30T00:00:00"/>
    <d v="2026-04-21T00:00:00"/>
    <n v="1"/>
    <n v="1"/>
    <n v="100"/>
    <s v="SEM 18"/>
    <s v="Apr-2026"/>
    <x v="0"/>
    <n v="9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8922703"/>
    <n v="6"/>
    <s v="Standard"/>
    <s v="X"/>
    <d v="2025-12-10T00:00:00"/>
    <x v="183"/>
    <d v="2026-04-21T00:00:00"/>
    <d v="2026-05-02T00:00:00"/>
    <d v="2026-04-21T00:00:00"/>
    <n v="1"/>
    <n v="1"/>
    <n v="100"/>
    <s v="SEM 18"/>
    <s v="May-2026"/>
    <x v="0"/>
    <n v="1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8940179"/>
    <n v="8"/>
    <s v="Standard"/>
    <s v="X"/>
    <d v="2025-12-15T00:00:00"/>
    <x v="114"/>
    <d v="2026-05-06T00:00:00"/>
    <d v="2026-05-07T00:00:00"/>
    <d v="2026-05-06T00:00:00"/>
    <n v="1"/>
    <n v="1"/>
    <n v="100"/>
    <s v="SEM 19"/>
    <s v="May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000973"/>
    <n v="4"/>
    <s v="Standard"/>
    <s v="X"/>
    <d v="2025-12-31T00:00:00"/>
    <x v="208"/>
    <d v="2026-05-06T00:00:00"/>
    <d v="2026-05-23T00:00:00"/>
    <d v="2026-05-06T00:00:00"/>
    <n v="1"/>
    <n v="1"/>
    <n v="100"/>
    <s v="SEM 21"/>
    <s v="May-2026"/>
    <x v="0"/>
    <n v="17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025141"/>
    <n v="6"/>
    <s v="Standard"/>
    <s v="X"/>
    <d v="2026-01-06T00:00:00"/>
    <x v="34"/>
    <d v="2026-05-06T00:00:00"/>
    <d v="2026-05-29T00:00:00"/>
    <d v="2026-05-06T00:00:00"/>
    <n v="1"/>
    <n v="1"/>
    <n v="100"/>
    <s v="SEM 22"/>
    <s v="May-2026"/>
    <x v="0"/>
    <n v="2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078585"/>
    <n v="4"/>
    <s v="Standard"/>
    <s v="X"/>
    <d v="2026-01-19T00:00:00"/>
    <x v="35"/>
    <d v="2026-06-01T00:00:00"/>
    <d v="2026-06-10T00:00:00"/>
    <d v="2026-06-01T00:00:00"/>
    <n v="1"/>
    <n v="1"/>
    <n v="100"/>
    <s v="SEM 24"/>
    <s v="Jun-2026"/>
    <x v="0"/>
    <n v="9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098641"/>
    <n v="2"/>
    <s v="Standard"/>
    <s v="X"/>
    <d v="2026-01-23T00:00:00"/>
    <x v="145"/>
    <d v="2026-06-01T00:00:00"/>
    <d v="2026-06-15T00:00:00"/>
    <d v="2026-06-01T00:00:00"/>
    <n v="1"/>
    <n v="1"/>
    <n v="100"/>
    <s v="SEM 25"/>
    <s v="Jun-2026"/>
    <x v="0"/>
    <n v="1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102493"/>
    <n v="2"/>
    <s v="Standard"/>
    <s v="X"/>
    <d v="2026-01-25T00:00:00"/>
    <x v="64"/>
    <d v="2026-06-01T00:00:00"/>
    <d v="2026-06-17T00:00:00"/>
    <d v="2026-06-01T00:00:00"/>
    <n v="1"/>
    <n v="1"/>
    <n v="100"/>
    <s v="SEM 25"/>
    <s v="Jun-2026"/>
    <x v="0"/>
    <n v="16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122267"/>
    <n v="2"/>
    <s v="Standard"/>
    <s v="X"/>
    <d v="2026-01-29T00:00:00"/>
    <x v="147"/>
    <d v="2026-06-01T00:00:00"/>
    <d v="2026-06-21T00:00:00"/>
    <d v="2026-06-01T00:00:00"/>
    <n v="1"/>
    <n v="1"/>
    <n v="100"/>
    <s v="SEM 26"/>
    <s v="Jun-2026"/>
    <x v="0"/>
    <n v="2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129416"/>
    <n v="2"/>
    <s v="Standard"/>
    <s v="X"/>
    <d v="2026-01-31T00:00:00"/>
    <x v="209"/>
    <d v="2026-05-06T00:00:00"/>
    <d v="2024-05-10T00:00:00"/>
    <d v="2026-05-06T00:00:00"/>
    <n v="1"/>
    <n v="1"/>
    <n v="100"/>
    <s v="SEM 25"/>
    <s v="Jun-2026"/>
    <x v="0"/>
    <n v="45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180045"/>
    <n v="6"/>
    <s v="Standard"/>
    <s v="X"/>
    <d v="2026-02-11T00:00:00"/>
    <x v="93"/>
    <d v="2026-07-01T00:00:00"/>
    <d v="2026-07-04T00:00:00"/>
    <d v="2026-07-01T00:00:00"/>
    <n v="1"/>
    <n v="1"/>
    <n v="100"/>
    <s v="SEM 27"/>
    <s v="Jul-2026"/>
    <x v="0"/>
    <n v="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210828"/>
    <n v="6"/>
    <s v="Standard"/>
    <s v="X"/>
    <d v="2026-02-18T00:00:00"/>
    <x v="116"/>
    <d v="2026-07-01T00:00:00"/>
    <d v="2026-07-11T00:00:00"/>
    <d v="2026-07-01T00:00:00"/>
    <n v="1"/>
    <n v="1"/>
    <n v="100"/>
    <s v="SEM 28"/>
    <s v="Jul-2026"/>
    <x v="0"/>
    <n v="1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317249"/>
    <n v="6"/>
    <s v="Standard"/>
    <s v="X"/>
    <d v="2026-03-14T00:00:00"/>
    <x v="30"/>
    <d v="2026-08-03T00:00:00"/>
    <d v="2026-08-03T00:00:00"/>
    <d v="2026-08-03T00:00:00"/>
    <n v="1"/>
    <n v="1"/>
    <n v="100"/>
    <s v="SEM 32"/>
    <s v="Aug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331240"/>
    <n v="2"/>
    <s v="Standard"/>
    <s v="X"/>
    <d v="2026-03-17T00:00:00"/>
    <x v="210"/>
    <d v="2026-08-03T00:00:00"/>
    <d v="2026-08-07T00:00:00"/>
    <d v="2026-08-03T00:00:00"/>
    <n v="1"/>
    <n v="1"/>
    <n v="100"/>
    <s v="SEM 32"/>
    <s v="Aug-2026"/>
    <x v="0"/>
    <n v="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346296"/>
    <n v="6"/>
    <s v="Standard"/>
    <s v="X"/>
    <d v="2026-03-20T00:00:00"/>
    <x v="142"/>
    <d v="2026-08-03T00:00:00"/>
    <d v="2026-08-10T00:00:00"/>
    <d v="2026-08-03T00:00:00"/>
    <n v="1"/>
    <n v="1"/>
    <n v="100"/>
    <s v="SEM 33"/>
    <s v="Aug-2026"/>
    <x v="0"/>
    <n v="7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362683"/>
    <n v="6"/>
    <s v="Standard"/>
    <s v="X"/>
    <d v="2026-03-24T00:00:00"/>
    <x v="211"/>
    <d v="2026-08-03T00:00:00"/>
    <d v="2026-08-14T00:00:00"/>
    <d v="2026-08-03T00:00:00"/>
    <n v="1"/>
    <n v="1"/>
    <n v="100"/>
    <s v="SEM 33"/>
    <s v="Aug-2026"/>
    <x v="0"/>
    <n v="1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389478"/>
    <n v="2"/>
    <s v="Standard"/>
    <s v="X"/>
    <d v="2026-03-30T00:00:00"/>
    <x v="212"/>
    <d v="2026-08-03T00:00:00"/>
    <d v="2026-08-20T00:00:00"/>
    <d v="2026-08-03T00:00:00"/>
    <n v="1"/>
    <n v="1"/>
    <n v="100"/>
    <s v="SEM 34"/>
    <s v="Aug-2026"/>
    <x v="0"/>
    <n v="17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409561"/>
    <n v="4"/>
    <s v="Standard"/>
    <s v="X"/>
    <d v="2026-04-03T00:00:00"/>
    <x v="133"/>
    <d v="2026-08-03T00:00:00"/>
    <d v="2026-08-24T00:00:00"/>
    <d v="2026-08-03T00:00:00"/>
    <n v="1"/>
    <n v="1"/>
    <n v="100"/>
    <s v="SEM 35"/>
    <s v="Aug-2026"/>
    <x v="0"/>
    <n v="2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423144"/>
    <n v="4"/>
    <s v="Standard"/>
    <s v="X"/>
    <d v="2026-04-07T00:00:00"/>
    <x v="14"/>
    <d v="2026-08-03T00:00:00"/>
    <d v="2026-08-27T00:00:00"/>
    <d v="2026-08-03T00:00:00"/>
    <n v="1"/>
    <n v="1"/>
    <n v="100"/>
    <s v="SEM 35"/>
    <s v="Aug-2026"/>
    <x v="0"/>
    <n v="24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434951"/>
    <n v="4"/>
    <s v="Standard"/>
    <s v="X"/>
    <d v="2026-04-09T00:00:00"/>
    <x v="128"/>
    <d v="2026-08-03T00:00:00"/>
    <d v="2026-08-30T00:00:00"/>
    <d v="2026-08-03T00:00:00"/>
    <n v="1"/>
    <n v="1"/>
    <n v="100"/>
    <s v="SEM 36"/>
    <s v="Aug-2026"/>
    <x v="0"/>
    <n v="27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507941"/>
    <n v="6"/>
    <s v="Standard"/>
    <s v="#"/>
    <d v="2026-04-24T00:00:00"/>
    <x v="213"/>
    <s v="#"/>
    <d v="2026-09-14T00:00:00"/>
    <d v="2026-04-24T00:00:00"/>
    <n v="1"/>
    <n v="0"/>
    <n v="0"/>
    <s v="SEM 38"/>
    <s v="Sep-2026"/>
    <x v="2"/>
    <n v="27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548251"/>
    <n v="8"/>
    <s v="Standard"/>
    <s v="#"/>
    <d v="2026-05-04T00:00:00"/>
    <x v="3"/>
    <s v="#"/>
    <d v="2026-09-24T00:00:00"/>
    <d v="2026-05-04T00:00:00"/>
    <n v="1"/>
    <n v="0"/>
    <n v="0"/>
    <s v="SEM 39"/>
    <s v="Sep-2026"/>
    <x v="2"/>
    <n v="37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642063"/>
    <n v="4"/>
    <s v="Standard"/>
    <s v="#"/>
    <d v="2026-05-22T00:00:00"/>
    <x v="214"/>
    <s v="#"/>
    <d v="2026-10-12T00:00:00"/>
    <d v="2026-05-22T00:00:00"/>
    <n v="1"/>
    <n v="0"/>
    <n v="0"/>
    <s v="SEM 42"/>
    <s v="Oct-2026"/>
    <x v="2"/>
    <n v="55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653726"/>
    <n v="85"/>
    <s v="Standard"/>
    <s v="#"/>
    <d v="2026-05-26T00:00:00"/>
    <x v="215"/>
    <s v="#"/>
    <d v="2026-10-15T00:00:00"/>
    <d v="2026-05-26T00:00:00"/>
    <n v="1"/>
    <n v="0"/>
    <n v="0"/>
    <s v="SEM 42"/>
    <s v="Oct-2026"/>
    <x v="2"/>
    <n v="58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657742"/>
    <n v="6"/>
    <s v="Standard"/>
    <s v="#"/>
    <d v="2026-05-26T00:00:00"/>
    <x v="216"/>
    <s v="#"/>
    <d v="2026-10-16T00:00:00"/>
    <d v="2026-05-26T00:00:00"/>
    <n v="1"/>
    <n v="0"/>
    <n v="0"/>
    <s v="SEM 42"/>
    <s v="Oct-2026"/>
    <x v="2"/>
    <n v="59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682638"/>
    <n v="8"/>
    <s v="Standard"/>
    <s v="#"/>
    <d v="2026-06-01T00:00:00"/>
    <x v="21"/>
    <s v="#"/>
    <d v="2026-10-22T00:00:00"/>
    <d v="2026-06-01T00:00:00"/>
    <n v="1"/>
    <n v="0"/>
    <n v="0"/>
    <s v="SEM 43"/>
    <s v="Oct-2026"/>
    <x v="2"/>
    <n v="65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687727"/>
    <n v="6"/>
    <s v="Standard"/>
    <s v="#"/>
    <d v="2026-06-02T00:00:00"/>
    <x v="217"/>
    <s v="#"/>
    <d v="2026-10-23T00:00:00"/>
    <d v="2026-06-02T00:00:00"/>
    <n v="1"/>
    <n v="0"/>
    <n v="0"/>
    <s v="SEM 43"/>
    <s v="Oct-2026"/>
    <x v="2"/>
    <n v="66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750922"/>
    <n v="6"/>
    <s v="Standard"/>
    <s v="#"/>
    <d v="2026-06-15T00:00:00"/>
    <x v="218"/>
    <s v="#"/>
    <d v="2026-11-05T00:00:00"/>
    <d v="2026-06-15T00:00:00"/>
    <n v="1"/>
    <n v="0"/>
    <n v="0"/>
    <s v="SEM 45"/>
    <s v="Nov-2026"/>
    <x v="2"/>
    <n v="79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766869"/>
    <n v="2"/>
    <s v="Standard"/>
    <s v="#"/>
    <d v="2026-06-18T00:00:00"/>
    <x v="219"/>
    <s v="#"/>
    <d v="2026-11-08T00:00:00"/>
    <d v="2026-06-18T00:00:00"/>
    <n v="1"/>
    <n v="0"/>
    <n v="0"/>
    <s v="SEM 46"/>
    <s v="Nov-2026"/>
    <x v="2"/>
    <n v="8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820037"/>
    <n v="2"/>
    <s v="Standard"/>
    <s v="#"/>
    <d v="2026-06-29T00:00:00"/>
    <x v="220"/>
    <s v="#"/>
    <d v="2026-11-19T00:00:00"/>
    <d v="2026-06-29T00:00:00"/>
    <n v="1"/>
    <n v="0"/>
    <n v="0"/>
    <s v="SEM 47"/>
    <s v="Nov-2026"/>
    <x v="2"/>
    <n v="93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858124"/>
    <n v="2"/>
    <s v="Standard"/>
    <s v="#"/>
    <d v="2026-07-06T00:00:00"/>
    <x v="221"/>
    <s v="#"/>
    <d v="2026-11-26T00:00:00"/>
    <d v="2026-07-06T00:00:00"/>
    <n v="1"/>
    <n v="0"/>
    <n v="0"/>
    <s v="SEM 48"/>
    <s v="Nov-2026"/>
    <x v="2"/>
    <n v="100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870057"/>
    <n v="6"/>
    <s v="Standard"/>
    <s v="#"/>
    <d v="2026-07-08T00:00:00"/>
    <x v="222"/>
    <s v="#"/>
    <d v="2026-11-28T00:00:00"/>
    <d v="2026-07-08T00:00:00"/>
    <n v="1"/>
    <n v="0"/>
    <n v="0"/>
    <s v="SEM 48"/>
    <s v="Nov-2026"/>
    <x v="2"/>
    <n v="102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957415"/>
    <n v="8"/>
    <s v="Standard"/>
    <s v="#"/>
    <d v="2026-07-27T00:00:00"/>
    <x v="223"/>
    <s v="#"/>
    <d v="2026-12-17T00:00:00"/>
    <d v="2026-07-27T00:00:00"/>
    <n v="1"/>
    <n v="0"/>
    <n v="0"/>
    <s v="SEM 51"/>
    <s v="Dec-2026"/>
    <x v="2"/>
    <n v="121"/>
    <x v="0"/>
    <s v="2026"/>
  </r>
  <r>
    <s v="Minerals Americas"/>
    <x v="0"/>
    <s v="BM Escondida"/>
    <s v="30129536"/>
    <s v="CML COMERCIALIZADORA E IMPORTADORA"/>
    <s v="CPT"/>
    <s v="BY AGREEMENT"/>
    <s v="10"/>
    <s v="SM5"/>
    <x v="3"/>
    <s v="11440328"/>
    <s v="SILICONE COMPOUND,HI"/>
    <s v="4519973949"/>
    <n v="4"/>
    <s v="Standard"/>
    <s v="#"/>
    <d v="2026-07-30T00:00:00"/>
    <x v="224"/>
    <s v="#"/>
    <d v="2026-12-20T00:00:00"/>
    <d v="2026-07-30T00:00:00"/>
    <n v="1"/>
    <n v="0"/>
    <n v="0"/>
    <s v="SEM 52"/>
    <s v="Dec-2026"/>
    <x v="2"/>
    <n v="124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372595"/>
    <s v="CONNECTOR,PLUG,8.7KV"/>
    <s v="4518882838"/>
    <n v="8"/>
    <s v="Standard"/>
    <s v="X"/>
    <d v="2025-12-01T00:00:00"/>
    <x v="124"/>
    <d v="2026-04-01T00:00:00"/>
    <d v="2026-04-03T00:00:00"/>
    <d v="2026-04-01T00:00:00"/>
    <n v="1"/>
    <n v="1"/>
    <n v="100"/>
    <s v="SEM 14"/>
    <s v="Apr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377129"/>
    <s v="SWITCH,ROTARY,3 POSN"/>
    <s v="4518978267"/>
    <n v="1"/>
    <s v="Standard"/>
    <s v="X"/>
    <d v="2025-12-24T00:00:00"/>
    <x v="180"/>
    <d v="2026-05-08T00:00:00"/>
    <d v="2026-03-21T00:00:00"/>
    <d v="2026-05-08T00:00:00"/>
    <n v="1"/>
    <n v="0"/>
    <n v="0"/>
    <s v="SEM 12"/>
    <s v="Mar-2026"/>
    <x v="0"/>
    <n v="-48"/>
    <x v="1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377129"/>
    <s v="SWITCH,ROTARY,3 POSN"/>
    <s v="4519036433"/>
    <n v="3"/>
    <s v="Standard"/>
    <s v="X"/>
    <d v="2026-01-08T00:00:00"/>
    <x v="206"/>
    <d v="2026-05-08T00:00:00"/>
    <d v="2026-04-06T00:00:00"/>
    <d v="2026-05-08T00:00:00"/>
    <n v="1"/>
    <n v="0"/>
    <n v="0"/>
    <s v="SEM 15"/>
    <s v="Apr-2026"/>
    <x v="0"/>
    <n v="-32"/>
    <x v="1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377129"/>
    <s v="SWITCH,ROTARY,3 POSN"/>
    <s v="4519148306"/>
    <n v="2"/>
    <s v="Standard"/>
    <s v="X"/>
    <d v="2026-02-04T00:00:00"/>
    <x v="131"/>
    <d v="2026-05-08T00:00:00"/>
    <d v="2026-05-03T00:00:00"/>
    <d v="2026-05-08T00:00:00"/>
    <n v="1"/>
    <n v="0"/>
    <n v="0"/>
    <s v="SEM 19"/>
    <s v="May-2026"/>
    <x v="0"/>
    <n v="-5"/>
    <x v="1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377129"/>
    <s v="SWITCH,ROTARY,3 POSN"/>
    <s v="4519567300"/>
    <n v="2"/>
    <s v="Standard"/>
    <s v="X"/>
    <d v="2026-05-07T00:00:00"/>
    <x v="23"/>
    <d v="2026-07-17T00:00:00"/>
    <d v="2026-07-19T00:00:00"/>
    <d v="2026-07-17T00:00:00"/>
    <n v="1"/>
    <n v="1"/>
    <n v="100"/>
    <s v="SEM 31"/>
    <s v="Jul-2026"/>
    <x v="0"/>
    <n v="14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377129"/>
    <s v="SWITCH,ROTARY,3 POSN"/>
    <s v="4519695416"/>
    <n v="3"/>
    <s v="Standard"/>
    <s v="#"/>
    <d v="2026-06-03T00:00:00"/>
    <x v="128"/>
    <s v="#"/>
    <d v="2026-08-30T00:00:00"/>
    <d v="2026-06-03T00:00:00"/>
    <n v="1"/>
    <n v="0"/>
    <n v="0"/>
    <s v="SEM 36"/>
    <s v="Aug-2026"/>
    <x v="2"/>
    <n v="12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377129"/>
    <s v="SWITCH,ROTARY,3 POSN"/>
    <s v="4519766870"/>
    <n v="40"/>
    <s v="Standard"/>
    <s v="#"/>
    <d v="2026-06-18T00:00:00"/>
    <x v="52"/>
    <s v="#"/>
    <d v="2026-09-13T00:00:00"/>
    <d v="2026-06-18T00:00:00"/>
    <n v="1"/>
    <n v="0"/>
    <n v="0"/>
    <s v="SEM 38"/>
    <s v="Sep-2026"/>
    <x v="2"/>
    <n v="26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399815"/>
    <s v="TERMINAL BLOCK,PHOEN"/>
    <s v="4519221229"/>
    <n v="574"/>
    <s v="Standard"/>
    <s v="X"/>
    <d v="2026-02-20T00:00:00"/>
    <x v="159"/>
    <d v="2026-05-13T00:00:00"/>
    <d v="2026-07-28T00:00:00"/>
    <d v="2026-05-13T00:00:00"/>
    <n v="1"/>
    <n v="0"/>
    <n v="0"/>
    <s v="SEM 31"/>
    <s v="Jul-2026"/>
    <x v="0"/>
    <n v="76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399815"/>
    <s v="TERMINAL BLOCK,PHOEN"/>
    <s v="4519250665"/>
    <n v="500"/>
    <s v="Standard"/>
    <s v="X"/>
    <d v="2026-02-27T00:00:00"/>
    <x v="1"/>
    <d v="2026-05-19T00:00:00"/>
    <d v="2026-09-16T00:00:00"/>
    <d v="2026-05-19T00:00:00"/>
    <n v="1"/>
    <n v="1"/>
    <n v="100"/>
    <s v="SEM 38"/>
    <s v="Sep-2026"/>
    <x v="0"/>
    <n v="120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413362"/>
    <s v="HOSE KIT,WIGGINS VR3"/>
    <s v="4518975442"/>
    <n v="5"/>
    <s v="Standard"/>
    <s v="X"/>
    <d v="2025-12-23T00:00:00"/>
    <x v="201"/>
    <d v="2026-01-08T00:00:00"/>
    <d v="2026-01-15T00:00:00"/>
    <d v="2026-01-08T00:00:00"/>
    <n v="1"/>
    <n v="1"/>
    <n v="100"/>
    <s v="SEM 3"/>
    <s v="Jan-2026"/>
    <x v="0"/>
    <n v="7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413362"/>
    <s v="HOSE KIT,WIGGINS VR3"/>
    <s v="4519090023"/>
    <n v="5"/>
    <s v="Standard"/>
    <s v="X"/>
    <d v="2026-01-21T00:00:00"/>
    <x v="58"/>
    <d v="2026-02-04T00:00:00"/>
    <d v="2026-02-13T00:00:00"/>
    <d v="2026-02-04T00:00:00"/>
    <n v="1"/>
    <n v="1"/>
    <n v="100"/>
    <s v="SEM 7"/>
    <s v="Feb-2026"/>
    <x v="0"/>
    <n v="9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413362"/>
    <s v="HOSE KIT,WIGGINS VR3"/>
    <s v="4519187642"/>
    <n v="7"/>
    <s v="Standard"/>
    <s v="X"/>
    <d v="2026-02-13T00:00:00"/>
    <x v="28"/>
    <d v="2026-03-02T00:00:00"/>
    <d v="2026-03-08T00:00:00"/>
    <d v="2026-03-02T00:00:00"/>
    <n v="1"/>
    <n v="1"/>
    <n v="100"/>
    <s v="SEM 11"/>
    <s v="Mar-2026"/>
    <x v="0"/>
    <n v="6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413362"/>
    <s v="HOSE KIT,WIGGINS VR3"/>
    <s v="4519373167"/>
    <n v="5"/>
    <s v="Standard"/>
    <s v="X"/>
    <d v="2026-03-26T00:00:00"/>
    <x v="225"/>
    <d v="2026-04-13T00:00:00"/>
    <d v="2026-04-18T00:00:00"/>
    <d v="2026-04-13T00:00:00"/>
    <n v="1"/>
    <n v="1"/>
    <n v="100"/>
    <s v="SEM 16"/>
    <s v="Apr-2026"/>
    <x v="0"/>
    <n v="5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413362"/>
    <s v="HOSE KIT,WIGGINS VR3"/>
    <s v="4519429509"/>
    <n v="5"/>
    <s v="Standard"/>
    <s v="X"/>
    <d v="2026-04-08T00:00:00"/>
    <x v="226"/>
    <d v="2026-04-28T00:00:00"/>
    <d v="2026-05-01T00:00:00"/>
    <d v="2026-04-28T00:00:00"/>
    <n v="1"/>
    <n v="1"/>
    <n v="100"/>
    <s v="SEM 18"/>
    <s v="May-2026"/>
    <x v="0"/>
    <n v="3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413362"/>
    <s v="HOSE KIT,WIGGINS VR3"/>
    <s v="4519591869"/>
    <n v="5"/>
    <s v="Standard"/>
    <s v="X"/>
    <d v="2026-05-13T00:00:00"/>
    <x v="157"/>
    <d v="2026-06-05T00:00:00"/>
    <d v="2026-06-05T00:00:00"/>
    <d v="2026-06-05T00:00:00"/>
    <n v="1"/>
    <n v="1"/>
    <n v="100"/>
    <s v="SEM 23"/>
    <s v="Jun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413362"/>
    <s v="HOSE KIT,WIGGINS VR3"/>
    <s v="4519811845"/>
    <n v="5"/>
    <s v="Standard"/>
    <s v="X"/>
    <d v="2026-06-27T00:00:00"/>
    <x v="164"/>
    <d v="2026-07-20T00:00:00"/>
    <d v="2026-07-20T00:00:00"/>
    <d v="2026-07-20T00:00:00"/>
    <n v="1"/>
    <n v="1"/>
    <n v="100"/>
    <s v="SEM 30"/>
    <s v="Jul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844219"/>
    <s v="TRANSMITTER,PRESS,4"/>
    <s v="4519314931"/>
    <n v="4"/>
    <s v="Standard"/>
    <s v="X"/>
    <d v="2026-03-13T00:00:00"/>
    <x v="182"/>
    <d v="2026-04-14T00:00:00"/>
    <d v="2026-04-20T00:00:00"/>
    <d v="2026-04-14T00:00:00"/>
    <n v="1"/>
    <n v="1"/>
    <n v="100"/>
    <s v="SEM 17"/>
    <s v="Apr-2026"/>
    <x v="0"/>
    <n v="6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934636"/>
    <s v="SENSOR,TECPROM 12055"/>
    <s v="4518949742"/>
    <n v="2"/>
    <s v="Standard"/>
    <s v="X"/>
    <d v="2025-12-17T00:00:00"/>
    <x v="146"/>
    <d v="2026-01-29T00:00:00"/>
    <d v="2026-02-03T00:00:00"/>
    <d v="2026-01-29T00:00:00"/>
    <n v="1"/>
    <n v="1"/>
    <n v="100"/>
    <s v="SEM 6"/>
    <s v="Feb-2026"/>
    <x v="0"/>
    <n v="5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934636"/>
    <s v="SENSOR,TECPROM 12055"/>
    <s v="4518955099"/>
    <n v="1"/>
    <s v="Standard"/>
    <s v="X"/>
    <d v="2025-12-18T00:00:00"/>
    <x v="85"/>
    <d v="2026-02-02T00:00:00"/>
    <d v="2026-02-04T00:00:00"/>
    <d v="2026-02-02T00:00:00"/>
    <n v="1"/>
    <n v="1"/>
    <n v="100"/>
    <s v="SEM 6"/>
    <s v="Feb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934636"/>
    <s v="SENSOR,TECPROM 12055"/>
    <s v="4518978984"/>
    <n v="1"/>
    <s v="Standard"/>
    <s v="X"/>
    <d v="2025-12-24T00:00:00"/>
    <x v="99"/>
    <d v="2026-02-02T00:00:00"/>
    <d v="2026-02-10T00:00:00"/>
    <d v="2026-02-02T00:00:00"/>
    <n v="1"/>
    <n v="1"/>
    <n v="100"/>
    <s v="SEM 7"/>
    <s v="Feb-2026"/>
    <x v="0"/>
    <n v="8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934636"/>
    <s v="SENSOR,TECPROM 12055"/>
    <s v="4519030876"/>
    <n v="1"/>
    <s v="Standard"/>
    <s v="X"/>
    <d v="2026-01-07T00:00:00"/>
    <x v="16"/>
    <d v="2026-02-02T00:00:00"/>
    <d v="2026-02-24T00:00:00"/>
    <d v="2026-02-02T00:00:00"/>
    <n v="1"/>
    <n v="1"/>
    <n v="100"/>
    <s v="SEM 9"/>
    <s v="Feb-2026"/>
    <x v="0"/>
    <n v="22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934636"/>
    <s v="SENSOR,TECPROM 12055"/>
    <s v="4519036159"/>
    <n v="2"/>
    <s v="Standard"/>
    <s v="X"/>
    <d v="2026-01-08T00:00:00"/>
    <x v="72"/>
    <d v="2026-02-10T00:00:00"/>
    <d v="2026-02-25T00:00:00"/>
    <d v="2026-02-10T00:00:00"/>
    <n v="1"/>
    <n v="1"/>
    <n v="100"/>
    <s v="SEM 9"/>
    <s v="Feb-2026"/>
    <x v="0"/>
    <n v="15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934636"/>
    <s v="SENSOR,TECPROM 12055"/>
    <s v="4519118045"/>
    <n v="1"/>
    <s v="Standard"/>
    <s v="X"/>
    <d v="2026-01-28T00:00:00"/>
    <x v="173"/>
    <d v="2026-03-02T00:00:00"/>
    <d v="2026-03-17T00:00:00"/>
    <d v="2026-03-02T00:00:00"/>
    <n v="1"/>
    <n v="1"/>
    <n v="100"/>
    <s v="SEM 12"/>
    <s v="Mar-2026"/>
    <x v="0"/>
    <n v="15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934636"/>
    <s v="SENSOR,TECPROM 12055"/>
    <s v="4519148569"/>
    <n v="2"/>
    <s v="Standard"/>
    <s v="X"/>
    <d v="2026-02-04T00:00:00"/>
    <x v="101"/>
    <d v="2026-03-02T00:00:00"/>
    <d v="2026-03-24T00:00:00"/>
    <d v="2026-03-02T00:00:00"/>
    <n v="1"/>
    <n v="1"/>
    <n v="100"/>
    <s v="SEM 13"/>
    <s v="Mar-2026"/>
    <x v="0"/>
    <n v="22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934636"/>
    <s v="SENSOR,TECPROM 12055"/>
    <s v="4519211174"/>
    <n v="1"/>
    <s v="Standard"/>
    <s v="X"/>
    <d v="2026-02-18T00:00:00"/>
    <x v="227"/>
    <d v="2026-04-01T00:00:00"/>
    <d v="2026-04-07T00:00:00"/>
    <d v="2026-04-01T00:00:00"/>
    <n v="1"/>
    <n v="1"/>
    <n v="100"/>
    <s v="SEM 15"/>
    <s v="Apr-2026"/>
    <x v="0"/>
    <n v="6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934636"/>
    <s v="SENSOR,TECPROM 12055"/>
    <s v="4519400705"/>
    <n v="11"/>
    <s v="Standard"/>
    <s v="X"/>
    <d v="2026-04-02T00:00:00"/>
    <x v="62"/>
    <d v="2026-05-06T00:00:00"/>
    <d v="2026-05-19T00:00:00"/>
    <d v="2026-04-09T00:00:00"/>
    <n v="1"/>
    <n v="1"/>
    <n v="100"/>
    <s v="SEM 21"/>
    <s v="May-2026"/>
    <x v="0"/>
    <n v="13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934636"/>
    <s v="SENSOR,TECPROM 12055"/>
    <s v="4519424353"/>
    <n v="11"/>
    <s v="Standard"/>
    <s v="X"/>
    <d v="2026-04-07T00:00:00"/>
    <x v="34"/>
    <d v="2026-05-19T00:00:00"/>
    <d v="2026-05-29T00:00:00"/>
    <d v="2026-05-19T00:00:00"/>
    <n v="1"/>
    <n v="1"/>
    <n v="100"/>
    <s v="SEM 22"/>
    <s v="May-2026"/>
    <x v="0"/>
    <n v="10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934636"/>
    <s v="SENSOR,TECPROM 12055"/>
    <s v="4519429719"/>
    <n v="1"/>
    <s v="Standard"/>
    <s v="X"/>
    <d v="2026-04-08T00:00:00"/>
    <x v="228"/>
    <d v="2026-05-08T00:00:00"/>
    <d v="2026-05-26T00:00:00"/>
    <d v="2026-05-08T00:00:00"/>
    <n v="1"/>
    <n v="1"/>
    <n v="100"/>
    <s v="SEM 22"/>
    <s v="May-2026"/>
    <x v="0"/>
    <n v="18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0934636"/>
    <s v="SENSOR,TECPROM 12055"/>
    <s v="4519431539"/>
    <n v="1"/>
    <s v="Standard"/>
    <s v="X"/>
    <d v="2026-04-09T00:00:00"/>
    <x v="229"/>
    <d v="2026-05-08T00:00:00"/>
    <d v="2026-05-27T00:00:00"/>
    <d v="2026-05-08T00:00:00"/>
    <n v="1"/>
    <n v="1"/>
    <n v="100"/>
    <s v="SEM 22"/>
    <s v="May-2026"/>
    <x v="0"/>
    <n v="19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1066381"/>
    <s v="CONNECTOR,CABLE,AFEX"/>
    <s v="4519903015"/>
    <n v="20"/>
    <s v="Standard"/>
    <s v="X"/>
    <d v="2026-07-15T00:00:00"/>
    <x v="230"/>
    <d v="2026-08-03T00:00:00"/>
    <d v="2026-08-12T00:00:00"/>
    <d v="2026-08-03T00:00:00"/>
    <n v="1"/>
    <n v="1"/>
    <n v="100"/>
    <s v="SEM 33"/>
    <s v="Aug-2026"/>
    <x v="0"/>
    <n v="9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1102143"/>
    <s v="CABLE,ELEC,SPIRAL,2"/>
    <s v="4519620510"/>
    <n v="4"/>
    <s v="Standard"/>
    <s v="X"/>
    <d v="2026-05-18T00:00:00"/>
    <x v="90"/>
    <d v="2026-07-15T00:00:00"/>
    <d v="2026-07-25T00:00:00"/>
    <d v="2026-07-15T00:00:00"/>
    <n v="1"/>
    <n v="1"/>
    <n v="100"/>
    <s v="SEM 30"/>
    <s v="Jul-2026"/>
    <x v="0"/>
    <n v="10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1102143"/>
    <s v="CABLE,ELEC,SPIRAL,2"/>
    <s v="4519833260"/>
    <n v="4"/>
    <s v="Standard"/>
    <s v="#"/>
    <d v="2026-07-01T00:00:00"/>
    <x v="231"/>
    <s v="#"/>
    <d v="2026-09-07T00:00:00"/>
    <d v="2026-07-01T00:00:00"/>
    <n v="1"/>
    <n v="0"/>
    <n v="0"/>
    <s v="SEM 37"/>
    <s v="Sep-2026"/>
    <x v="2"/>
    <n v="20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1140459"/>
    <s v="TRANSMITTER,LIQUID Q"/>
    <s v="4518859305"/>
    <n v="2"/>
    <s v="Standard"/>
    <s v="X"/>
    <d v="2025-11-25T00:00:00"/>
    <x v="11"/>
    <d v="2026-01-16T00:00:00"/>
    <d v="2026-01-27T00:00:00"/>
    <d v="2026-01-16T00:00:00"/>
    <n v="1"/>
    <n v="1"/>
    <n v="100"/>
    <s v="SEM 5"/>
    <s v="Jan-2026"/>
    <x v="0"/>
    <n v="11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1140459"/>
    <s v="TRANSMITTER,LIQUID Q"/>
    <s v="4519361045"/>
    <n v="1"/>
    <s v="Standard"/>
    <s v="X"/>
    <d v="2026-03-24T00:00:00"/>
    <x v="228"/>
    <d v="2026-05-11T00:00:00"/>
    <d v="2026-05-26T00:00:00"/>
    <d v="2026-05-11T00:00:00"/>
    <n v="1"/>
    <n v="1"/>
    <n v="100"/>
    <s v="SEM 22"/>
    <s v="May-2026"/>
    <x v="0"/>
    <n v="15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1198976"/>
    <s v="FLANGE,PIPE,SO,3IN N"/>
    <s v="4519870222"/>
    <n v="1"/>
    <s v="Standard"/>
    <s v="X"/>
    <d v="2026-07-08T00:00:00"/>
    <x v="23"/>
    <d v="2026-07-21T00:00:00"/>
    <d v="2026-07-31T00:00:00"/>
    <d v="2026-07-21T00:00:00"/>
    <n v="1"/>
    <n v="1"/>
    <n v="100"/>
    <s v="SEM 31"/>
    <s v="Jul-2026"/>
    <x v="0"/>
    <n v="10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1302523"/>
    <s v="CARRIAGE,PULLING,CML"/>
    <s v="4519739249"/>
    <n v="34"/>
    <s v="Standard"/>
    <s v="X"/>
    <d v="2026-06-12T00:00:00"/>
    <x v="164"/>
    <d v="2026-07-01T00:00:00"/>
    <d v="2026-07-20T00:00:00"/>
    <d v="2026-07-01T00:00:00"/>
    <n v="1"/>
    <n v="1"/>
    <n v="100"/>
    <s v="SEM 30"/>
    <s v="Jul-2026"/>
    <x v="0"/>
    <n v="19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1403204"/>
    <s v="PARTS KIT,HOIST,1 X"/>
    <s v="4519019793"/>
    <n v="1"/>
    <s v="Standard"/>
    <s v="X"/>
    <d v="2026-01-05T00:00:00"/>
    <x v="143"/>
    <d v="2026-02-03T00:00:00"/>
    <d v="2026-02-11T00:00:00"/>
    <d v="2026-02-03T00:00:00"/>
    <n v="1"/>
    <n v="1"/>
    <n v="100"/>
    <s v="SEM 7"/>
    <s v="Feb-2026"/>
    <x v="0"/>
    <n v="8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1403204"/>
    <s v="PARTS KIT,HOIST,1 X"/>
    <s v="4519025865"/>
    <n v="1"/>
    <s v="Standard"/>
    <s v="X"/>
    <d v="2026-01-06T00:00:00"/>
    <x v="58"/>
    <d v="2026-02-03T00:00:00"/>
    <d v="2026-02-13T00:00:00"/>
    <d v="2026-02-03T00:00:00"/>
    <n v="1"/>
    <n v="1"/>
    <n v="100"/>
    <s v="SEM 7"/>
    <s v="Feb-2026"/>
    <x v="0"/>
    <n v="10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1403204"/>
    <s v="PARTS KIT,HOIST,1 X"/>
    <s v="4519055414"/>
    <n v="1"/>
    <s v="Standard"/>
    <s v="X"/>
    <d v="2026-01-13T00:00:00"/>
    <x v="232"/>
    <d v="2026-02-20T00:00:00"/>
    <d v="2026-02-20T00:00:00"/>
    <d v="2026-02-20T00:00:00"/>
    <n v="1"/>
    <n v="1"/>
    <n v="100"/>
    <s v="SEM 8"/>
    <s v="Feb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1403204"/>
    <s v="PARTS KIT,HOIST,1 X"/>
    <s v="4519084387"/>
    <n v="1"/>
    <s v="Standard"/>
    <s v="X"/>
    <d v="2026-01-20T00:00:00"/>
    <x v="233"/>
    <d v="2026-02-25T00:00:00"/>
    <d v="2026-02-27T00:00:00"/>
    <d v="2026-02-25T00:00:00"/>
    <n v="1"/>
    <n v="1"/>
    <n v="100"/>
    <s v="SEM 9"/>
    <s v="Feb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1403204"/>
    <s v="PARTS KIT,HOIST,1 X"/>
    <s v="4519239174"/>
    <n v="1"/>
    <s v="Standard"/>
    <s v="X"/>
    <d v="2026-02-25T00:00:00"/>
    <x v="124"/>
    <d v="2026-04-01T00:00:00"/>
    <d v="2026-04-03T00:00:00"/>
    <d v="2026-04-01T00:00:00"/>
    <n v="1"/>
    <n v="1"/>
    <n v="100"/>
    <s v="SEM 14"/>
    <s v="Apr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1403204"/>
    <s v="PARTS KIT,HOIST,1 X"/>
    <s v="4519467134"/>
    <n v="2"/>
    <s v="Standard"/>
    <s v="X"/>
    <d v="2026-04-16T00:00:00"/>
    <x v="234"/>
    <d v="2026-05-20T00:00:00"/>
    <d v="2026-05-21T00:00:00"/>
    <d v="2026-05-20T00:00:00"/>
    <n v="1"/>
    <n v="1"/>
    <n v="100"/>
    <s v="SEM 21"/>
    <s v="May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1403204"/>
    <s v="PARTS KIT,HOIST,1 X"/>
    <s v="4519930354"/>
    <n v="1"/>
    <s v="Standard"/>
    <s v="X"/>
    <d v="2026-07-21T00:00:00"/>
    <x v="67"/>
    <d v="2026-08-10T00:00:00"/>
    <d v="2026-08-28T00:00:00"/>
    <d v="2026-08-10T00:00:00"/>
    <n v="1"/>
    <n v="1"/>
    <n v="100"/>
    <s v="SEM 35"/>
    <s v="Aug-2026"/>
    <x v="0"/>
    <n v="18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1403204"/>
    <s v="PARTS KIT,HOIST,1 X"/>
    <s v="4519962314"/>
    <n v="1"/>
    <s v="Standard"/>
    <s v="#"/>
    <d v="2026-07-28T00:00:00"/>
    <x v="235"/>
    <s v="#"/>
    <d v="2026-09-04T00:00:00"/>
    <d v="2026-07-28T00:00:00"/>
    <n v="1"/>
    <n v="0"/>
    <n v="0"/>
    <s v="SEM 36"/>
    <s v="Sep-2026"/>
    <x v="2"/>
    <n v="17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1407154"/>
    <s v="PARTS KIT,FILTER,1 X"/>
    <s v="4519007406"/>
    <n v="1"/>
    <s v="Standard"/>
    <s v="X"/>
    <d v="2026-01-02T00:00:00"/>
    <x v="98"/>
    <d v="2026-01-20T00:00:00"/>
    <d v="2026-01-30T00:00:00"/>
    <d v="2026-01-20T00:00:00"/>
    <n v="1"/>
    <n v="1"/>
    <n v="100"/>
    <s v="SEM 5"/>
    <s v="Jan-2026"/>
    <x v="0"/>
    <n v="10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1407154"/>
    <s v="PARTS KIT,FILTER,1 X"/>
    <s v="4519069229"/>
    <n v="1"/>
    <s v="Standard"/>
    <s v="X"/>
    <d v="2026-01-16T00:00:00"/>
    <x v="58"/>
    <d v="2026-02-03T00:00:00"/>
    <d v="2026-02-13T00:00:00"/>
    <d v="2026-02-03T00:00:00"/>
    <n v="1"/>
    <n v="1"/>
    <n v="100"/>
    <s v="SEM 7"/>
    <s v="Feb-2026"/>
    <x v="0"/>
    <n v="10"/>
    <x v="0"/>
    <s v="2026"/>
  </r>
  <r>
    <s v="Minerals Americas"/>
    <x v="0"/>
    <s v="BM Escondida"/>
    <s v="30129536"/>
    <s v="CML COMERCIALIZADORA E IMPORTADORA"/>
    <s v="CPT"/>
    <s v="BY AGREEMENT"/>
    <s v="10"/>
    <s v="SM5"/>
    <x v="4"/>
    <s v="11407154"/>
    <s v="PARTS KIT,FILTER,1 X"/>
    <s v="4519158195"/>
    <n v="1"/>
    <s v="Standard"/>
    <s v="X"/>
    <d v="2026-02-06T00:00:00"/>
    <x v="100"/>
    <d v="2026-03-02T00:00:00"/>
    <d v="2026-03-06T00:00:00"/>
    <d v="2026-03-02T00:00:00"/>
    <n v="1"/>
    <n v="1"/>
    <n v="100"/>
    <s v="SEM 10"/>
    <s v="Mar-2026"/>
    <x v="0"/>
    <n v="4"/>
    <x v="0"/>
    <s v="2026"/>
  </r>
  <r>
    <s v="Minerals Americas"/>
    <x v="0"/>
    <s v="BM Escondida"/>
    <s v="30129536"/>
    <s v="CML COMERCIALIZADORA E IMPORTADORA"/>
    <s v="CPT"/>
    <s v="BY AGREEMENT"/>
    <s v="100"/>
    <s v="SM5"/>
    <x v="2"/>
    <s v="#"/>
    <s v="Not assigned"/>
    <s v="4518684442"/>
    <n v="3000"/>
    <s v="Standard"/>
    <s v="X"/>
    <d v="2025-10-16T00:00:00"/>
    <x v="43"/>
    <d v="2025-11-04T00:00:00"/>
    <d v="2025-11-03T00:00:00"/>
    <d v="2025-11-04T00:00:00"/>
    <n v="1"/>
    <n v="1"/>
    <n v="100"/>
    <s v="SEM 3"/>
    <s v="Jan-2026"/>
    <x v="0"/>
    <n v="71"/>
    <x v="0"/>
    <s v="2026"/>
  </r>
  <r>
    <s v="Minerals Americas"/>
    <x v="0"/>
    <s v="BM Escondida"/>
    <s v="30129536"/>
    <s v="CML COMERCIALIZADORA E IMPORTADORA"/>
    <s v="CPT"/>
    <s v="BY AGREEMENT"/>
    <s v="100"/>
    <s v="SM5"/>
    <x v="2"/>
    <s v="#"/>
    <s v="Not assigned"/>
    <s v="4519185947"/>
    <n v="300"/>
    <s v="Standard"/>
    <s v="X"/>
    <d v="2026-02-12T00:00:00"/>
    <x v="48"/>
    <d v="2026-02-25T00:00:00"/>
    <d v="2026-02-26T00:00:00"/>
    <d v="2026-02-13T00:00:00"/>
    <n v="1"/>
    <n v="1"/>
    <n v="100"/>
    <s v="SEM 20"/>
    <s v="May-2026"/>
    <x v="0"/>
    <n v="77"/>
    <x v="0"/>
    <s v="2026"/>
  </r>
  <r>
    <s v="Minerals Americas"/>
    <x v="0"/>
    <s v="BM Escondida"/>
    <s v="30129536"/>
    <s v="CML COMERCIALIZADORA E IMPORTADORA"/>
    <s v="CPT"/>
    <s v="BY AGREEMENT"/>
    <s v="100"/>
    <s v="SM5"/>
    <x v="3"/>
    <s v="11070265"/>
    <s v="PIN,STR,25 X 72 DIM,"/>
    <s v="4518742101"/>
    <n v="9"/>
    <s v="Standard"/>
    <s v="X"/>
    <d v="2025-10-29T00:00:00"/>
    <x v="87"/>
    <d v="2026-02-02T00:00:00"/>
    <d v="2026-02-23T00:00:00"/>
    <d v="2026-02-02T00:00:00"/>
    <n v="1"/>
    <n v="1"/>
    <n v="100"/>
    <s v="SEM 9"/>
    <s v="Feb-2026"/>
    <x v="0"/>
    <n v="21"/>
    <x v="0"/>
    <s v="2026"/>
  </r>
  <r>
    <s v="Minerals Americas"/>
    <x v="0"/>
    <s v="BM Escondida"/>
    <s v="30129536"/>
    <s v="CML COMERCIALIZADORA E IMPORTADORA"/>
    <s v="CPT"/>
    <s v="BY AGREEMENT"/>
    <s v="110"/>
    <s v="SM5"/>
    <x v="2"/>
    <s v="#"/>
    <s v="Not assigned"/>
    <s v="4519185947"/>
    <n v="300"/>
    <s v="Standard"/>
    <s v="X"/>
    <d v="2026-02-12T00:00:00"/>
    <x v="48"/>
    <d v="2026-03-06T00:00:00"/>
    <d v="2026-02-26T00:00:00"/>
    <d v="2026-03-06T00:00:00"/>
    <n v="1"/>
    <n v="1"/>
    <n v="100"/>
    <s v="SEM 20"/>
    <s v="May-2026"/>
    <x v="0"/>
    <n v="68"/>
    <x v="0"/>
    <s v="2026"/>
  </r>
  <r>
    <s v="Minerals Americas"/>
    <x v="0"/>
    <s v="BM Escondida"/>
    <s v="30129536"/>
    <s v="CML COMERCIALIZADORA E IMPORTADORA"/>
    <s v="CPT"/>
    <s v="BY AGREEMENT"/>
    <s v="120"/>
    <s v="SM5"/>
    <x v="2"/>
    <s v="#"/>
    <s v="Not assigned"/>
    <s v="4519185947"/>
    <n v="20"/>
    <s v="Standard"/>
    <s v="X"/>
    <d v="2026-02-12T00:00:00"/>
    <x v="48"/>
    <d v="2026-02-25T00:00:00"/>
    <d v="2026-02-26T00:00:00"/>
    <d v="2026-02-25T00:00:00"/>
    <n v="1"/>
    <n v="1"/>
    <n v="100"/>
    <s v="SEM 20"/>
    <s v="May-2026"/>
    <x v="0"/>
    <n v="77"/>
    <x v="0"/>
    <s v="2026"/>
  </r>
  <r>
    <s v="Minerals Americas"/>
    <x v="0"/>
    <s v="BM Escondida"/>
    <s v="30129536"/>
    <s v="CML COMERCIALIZADORA E IMPORTADORA"/>
    <s v="CPT"/>
    <s v="BY AGREEMENT"/>
    <s v="130"/>
    <s v="SM5"/>
    <x v="2"/>
    <s v="#"/>
    <s v="Not assigned"/>
    <s v="4519185947"/>
    <n v="20"/>
    <s v="Standard"/>
    <s v="X"/>
    <d v="2026-02-12T00:00:00"/>
    <x v="48"/>
    <d v="2026-02-25T00:00:00"/>
    <d v="2026-02-26T00:00:00"/>
    <d v="2026-02-25T00:00:00"/>
    <n v="1"/>
    <n v="1"/>
    <n v="100"/>
    <s v="SEM 20"/>
    <s v="May-2026"/>
    <x v="0"/>
    <n v="77"/>
    <x v="0"/>
    <s v="2026"/>
  </r>
  <r>
    <s v="Minerals Americas"/>
    <x v="0"/>
    <s v="BM Escondida"/>
    <s v="30129536"/>
    <s v="CML COMERCIALIZADORA E IMPORTADORA"/>
    <s v="CPT"/>
    <s v="BY AGREEMENT"/>
    <s v="130"/>
    <s v="SM5"/>
    <x v="4"/>
    <s v="10413362"/>
    <s v="HOSE KIT,WIGGINS VR3"/>
    <s v="4519839879"/>
    <n v="5"/>
    <s v="Standard"/>
    <s v="X"/>
    <d v="2026-07-02T00:00:00"/>
    <x v="90"/>
    <d v="2026-07-20T00:00:00"/>
    <d v="2026-07-25T00:00:00"/>
    <d v="2026-07-20T00:00:00"/>
    <n v="1"/>
    <n v="1"/>
    <n v="100"/>
    <s v="SEM 30"/>
    <s v="Jul-2026"/>
    <x v="0"/>
    <n v="5"/>
    <x v="0"/>
    <s v="2026"/>
  </r>
  <r>
    <s v="Minerals Americas"/>
    <x v="0"/>
    <s v="BM Escondida"/>
    <s v="30129536"/>
    <s v="CML COMERCIALIZADORA E IMPORTADORA"/>
    <s v="CPT"/>
    <s v="BY AGREEMENT"/>
    <s v="140"/>
    <s v="SM5"/>
    <x v="2"/>
    <s v="#"/>
    <s v="Not assigned"/>
    <s v="4519185947"/>
    <n v="70"/>
    <s v="Standard"/>
    <s v="X"/>
    <d v="2026-02-12T00:00:00"/>
    <x v="48"/>
    <d v="2026-04-15T00:00:00"/>
    <d v="2026-02-26T00:00:00"/>
    <d v="2026-04-15T00:00:00"/>
    <n v="1"/>
    <n v="1"/>
    <n v="100"/>
    <s v="SEM 20"/>
    <s v="May-2026"/>
    <x v="0"/>
    <n v="28"/>
    <x v="0"/>
    <s v="2026"/>
  </r>
  <r>
    <s v="Minerals Americas"/>
    <x v="0"/>
    <s v="BM Escondida"/>
    <s v="30129536"/>
    <s v="CML COMERCIALIZADORA E IMPORTADORA"/>
    <s v="CPT"/>
    <s v="BY AGREEMENT"/>
    <s v="20"/>
    <s v="SM5"/>
    <x v="1"/>
    <s v="11264066"/>
    <s v="BLANKET,HEAT,CGE200L"/>
    <s v="4519652735"/>
    <n v="2"/>
    <s v="Standard"/>
    <s v="X"/>
    <d v="2026-05-25T00:00:00"/>
    <x v="60"/>
    <d v="2026-07-01T00:00:00"/>
    <d v="2026-07-10T00:00:00"/>
    <d v="2026-07-01T00:00:00"/>
    <n v="1"/>
    <n v="1"/>
    <n v="100"/>
    <s v="SEM 28"/>
    <s v="Jul-2026"/>
    <x v="0"/>
    <n v="9"/>
    <x v="0"/>
    <s v="2026"/>
  </r>
  <r>
    <s v="Minerals Americas"/>
    <x v="0"/>
    <s v="BM Escondida"/>
    <s v="30129536"/>
    <s v="CML COMERCIALIZADORA E IMPORTADORA"/>
    <s v="CPT"/>
    <s v="BY AGREEMENT"/>
    <s v="20"/>
    <s v="SM5"/>
    <x v="1"/>
    <s v="11394765"/>
    <s v="HOIST,CHAIN,MHT05ER-"/>
    <s v="4519636845"/>
    <n v="1"/>
    <s v="Standard"/>
    <s v="X"/>
    <d v="2026-05-21T00:00:00"/>
    <x v="82"/>
    <d v="2026-07-03T00:00:00"/>
    <d v="2026-07-22T00:00:00"/>
    <d v="2026-07-03T00:00:00"/>
    <n v="1"/>
    <n v="1"/>
    <n v="100"/>
    <s v="SEM 35"/>
    <s v="Aug-2026"/>
    <x v="0"/>
    <n v="57"/>
    <x v="0"/>
    <s v="2026"/>
  </r>
  <r>
    <s v="Minerals Americas"/>
    <x v="0"/>
    <s v="BM Escondida"/>
    <s v="30129536"/>
    <s v="CML COMERCIALIZADORA E IMPORTADORA"/>
    <s v="CPT"/>
    <s v="BY AGREEMENT"/>
    <s v="20"/>
    <s v="SM5"/>
    <x v="1"/>
    <s v="11428128"/>
    <s v="MONITOR,TV,SMART TV,"/>
    <s v="4519808977"/>
    <n v="4"/>
    <s v="Standard"/>
    <s v="#"/>
    <d v="2026-06-26T00:00:00"/>
    <x v="3"/>
    <s v="#"/>
    <d v="2026-09-18T00:00:00"/>
    <d v="2026-08-13T00:00:00"/>
    <n v="1"/>
    <n v="0"/>
    <n v="0"/>
    <s v="SEM 39"/>
    <s v="Sep-2026"/>
    <x v="2"/>
    <n v="37"/>
    <x v="0"/>
    <s v="2026"/>
  </r>
  <r>
    <s v="Minerals Americas"/>
    <x v="0"/>
    <s v="BM Escondida"/>
    <s v="30129536"/>
    <s v="CML COMERCIALIZADORA E IMPORTADORA"/>
    <s v="CPT"/>
    <s v="BY AGREEMENT"/>
    <s v="20"/>
    <s v="SM5"/>
    <x v="1"/>
    <s v="11605163"/>
    <s v="HEAT EXCH,REFRIGERAN"/>
    <s v="4519809043"/>
    <n v="2"/>
    <s v="Standard"/>
    <s v="X"/>
    <d v="2026-06-26T00:00:00"/>
    <x v="40"/>
    <d v="2026-08-07T00:00:00"/>
    <d v="2026-08-22T00:00:00"/>
    <d v="2026-08-07T00:00:00"/>
    <n v="1"/>
    <n v="1"/>
    <n v="100"/>
    <s v="SEM 34"/>
    <s v="Aug-2026"/>
    <x v="0"/>
    <n v="15"/>
    <x v="0"/>
    <s v="2026"/>
  </r>
  <r>
    <s v="Minerals Americas"/>
    <x v="0"/>
    <s v="BM Escondida"/>
    <s v="30129536"/>
    <s v="CML COMERCIALIZADORA E IMPORTADORA"/>
    <s v="CPT"/>
    <s v="BY AGREEMENT"/>
    <s v="20"/>
    <s v="SM5"/>
    <x v="2"/>
    <s v="#"/>
    <s v="Not assigned"/>
    <s v="4518684442"/>
    <n v="1"/>
    <s v="Standard"/>
    <s v="X"/>
    <d v="2025-10-16T00:00:00"/>
    <x v="43"/>
    <d v="2026-03-31T00:00:00"/>
    <d v="2025-11-03T00:00:00"/>
    <d v="2026-03-31T00:00:00"/>
    <n v="1"/>
    <n v="0"/>
    <n v="0"/>
    <s v="SEM 3"/>
    <s v="Jan-2026"/>
    <x v="0"/>
    <n v="-76"/>
    <x v="1"/>
    <s v="2026"/>
  </r>
  <r>
    <s v="Minerals Americas"/>
    <x v="0"/>
    <s v="BM Escondida"/>
    <s v="30129536"/>
    <s v="CML COMERCIALIZADORA E IMPORTADORA"/>
    <s v="CPT"/>
    <s v="BY AGREEMENT"/>
    <s v="20"/>
    <s v="SM5"/>
    <x v="2"/>
    <s v="#"/>
    <s v="Not assigned"/>
    <s v="4518711829"/>
    <n v="36"/>
    <s v="Standard"/>
    <s v="X"/>
    <d v="2025-10-22T00:00:00"/>
    <x v="44"/>
    <d v="2026-01-02T00:00:00"/>
    <d v="2026-01-23T00:00:00"/>
    <d v="2026-01-02T00:00:00"/>
    <n v="1"/>
    <n v="1"/>
    <n v="100"/>
    <s v="SEM 4"/>
    <s v="Jan-2026"/>
    <x v="0"/>
    <n v="21"/>
    <x v="0"/>
    <s v="2026"/>
  </r>
  <r>
    <s v="Minerals Americas"/>
    <x v="0"/>
    <s v="BM Escondida"/>
    <s v="30129536"/>
    <s v="CML COMERCIALIZADORA E IMPORTADORA"/>
    <s v="CPT"/>
    <s v="BY AGREEMENT"/>
    <s v="20"/>
    <s v="SM5"/>
    <x v="2"/>
    <s v="#"/>
    <s v="Not assigned"/>
    <s v="4518721482"/>
    <n v="20"/>
    <s v="Standard"/>
    <s v="X"/>
    <d v="2025-10-24T00:00:00"/>
    <x v="44"/>
    <d v="2026-01-02T00:00:00"/>
    <d v="2026-01-23T00:00:00"/>
    <d v="2026-01-02T00:00:00"/>
    <n v="1"/>
    <n v="1"/>
    <n v="100"/>
    <s v="SEM 4"/>
    <s v="Jan-2026"/>
    <x v="0"/>
    <n v="21"/>
    <x v="0"/>
    <s v="2026"/>
  </r>
  <r>
    <s v="Minerals Americas"/>
    <x v="0"/>
    <s v="BM Escondida"/>
    <s v="30129536"/>
    <s v="CML COMERCIALIZADORA E IMPORTADORA"/>
    <s v="CPT"/>
    <s v="BY AGREEMENT"/>
    <s v="20"/>
    <s v="SM5"/>
    <x v="2"/>
    <s v="#"/>
    <s v="Not assigned"/>
    <s v="4519031345"/>
    <n v="80"/>
    <s v="Standard"/>
    <s v="X"/>
    <d v="2026-01-07T00:00:00"/>
    <x v="46"/>
    <d v="2026-04-01T00:00:00"/>
    <d v="2026-04-10T00:00:00"/>
    <d v="2026-04-01T00:00:00"/>
    <n v="1"/>
    <n v="1"/>
    <n v="100"/>
    <s v="SEM 15"/>
    <s v="Apr-2026"/>
    <x v="0"/>
    <n v="9"/>
    <x v="0"/>
    <s v="2026"/>
  </r>
  <r>
    <s v="Minerals Americas"/>
    <x v="0"/>
    <s v="BM Escondida"/>
    <s v="30129536"/>
    <s v="CML COMERCIALIZADORA E IMPORTADORA"/>
    <s v="CPT"/>
    <s v="BY AGREEMENT"/>
    <s v="20"/>
    <s v="SM5"/>
    <x v="2"/>
    <s v="#"/>
    <s v="Not assigned"/>
    <s v="4519041278"/>
    <n v="6"/>
    <s v="Standard"/>
    <s v="X"/>
    <d v="2026-01-09T00:00:00"/>
    <x v="47"/>
    <d v="2026-02-18T00:00:00"/>
    <d v="2026-02-28T00:00:00"/>
    <d v="2026-02-18T00:00:00"/>
    <n v="1"/>
    <n v="1"/>
    <n v="100"/>
    <s v="SEM 15"/>
    <s v="Apr-2026"/>
    <x v="0"/>
    <n v="50"/>
    <x v="0"/>
    <s v="2026"/>
  </r>
  <r>
    <s v="Minerals Americas"/>
    <x v="0"/>
    <s v="BM Escondida"/>
    <s v="30129536"/>
    <s v="CML COMERCIALIZADORA E IMPORTADORA"/>
    <s v="CPT"/>
    <s v="BY AGREEMENT"/>
    <s v="20"/>
    <s v="SM5"/>
    <x v="2"/>
    <s v="#"/>
    <s v="Not assigned"/>
    <s v="4519185947"/>
    <n v="3"/>
    <s v="Standard"/>
    <s v="X"/>
    <d v="2026-02-12T00:00:00"/>
    <x v="48"/>
    <d v="2026-07-08T00:00:00"/>
    <d v="2026-02-26T00:00:00"/>
    <d v="2026-07-08T00:00:00"/>
    <n v="1"/>
    <n v="0"/>
    <n v="0"/>
    <s v="SEM 20"/>
    <s v="May-2026"/>
    <x v="0"/>
    <n v="-56"/>
    <x v="1"/>
    <s v="2026"/>
  </r>
  <r>
    <s v="Minerals Americas"/>
    <x v="0"/>
    <s v="BM Escondida"/>
    <s v="30129536"/>
    <s v="CML COMERCIALIZADORA E IMPORTADORA"/>
    <s v="CPT"/>
    <s v="BY AGREEMENT"/>
    <s v="20"/>
    <s v="SM5"/>
    <x v="2"/>
    <s v="#"/>
    <s v="Not assigned"/>
    <s v="4519571796"/>
    <n v="10"/>
    <s v="Standard"/>
    <s v="X"/>
    <d v="2026-05-08T00:00:00"/>
    <x v="50"/>
    <d v="2026-07-01T00:00:00"/>
    <d v="2026-07-01T00:00:00"/>
    <d v="2026-07-01T00:00:00"/>
    <n v="1"/>
    <n v="1"/>
    <n v="100"/>
    <s v="SEM 32"/>
    <s v="Aug-2026"/>
    <x v="0"/>
    <n v="36"/>
    <x v="0"/>
    <s v="2026"/>
  </r>
  <r>
    <s v="Minerals Americas"/>
    <x v="0"/>
    <s v="BM Escondida"/>
    <s v="30129536"/>
    <s v="CML COMERCIALIZADORA E IMPORTADORA"/>
    <s v="CPT"/>
    <s v="BY AGREEMENT"/>
    <s v="20"/>
    <s v="SM5"/>
    <x v="2"/>
    <s v="#"/>
    <s v="Not assigned"/>
    <s v="4519631273"/>
    <n v="300"/>
    <s v="Standard"/>
    <s v="X"/>
    <d v="2026-05-20T00:00:00"/>
    <x v="51"/>
    <d v="2026-06-10T00:00:00"/>
    <d v="2026-06-19T00:00:00"/>
    <d v="2026-06-10T00:00:00"/>
    <n v="1"/>
    <n v="1"/>
    <n v="100"/>
    <s v="SEM 34"/>
    <s v="Aug-2026"/>
    <x v="0"/>
    <n v="69"/>
    <x v="0"/>
    <s v="2026"/>
  </r>
  <r>
    <s v="Minerals Americas"/>
    <x v="0"/>
    <s v="BM Escondida"/>
    <s v="30129536"/>
    <s v="CML COMERCIALIZADORA E IMPORTADORA"/>
    <s v="CPT"/>
    <s v="BY AGREEMENT"/>
    <s v="20"/>
    <s v="SM5"/>
    <x v="2"/>
    <s v="#"/>
    <s v="Not assigned"/>
    <s v="4519784080"/>
    <n v="4"/>
    <s v="Standard"/>
    <s v="X"/>
    <d v="2026-06-22T00:00:00"/>
    <x v="53"/>
    <d v="2026-07-13T00:00:00"/>
    <d v="2026-07-25T00:00:00"/>
    <d v="2026-07-13T00:00:00"/>
    <n v="1"/>
    <n v="1"/>
    <n v="100"/>
    <s v="SEM 39"/>
    <s v="Sep-2026"/>
    <x v="0"/>
    <n v="69"/>
    <x v="0"/>
    <s v="2026"/>
  </r>
  <r>
    <s v="Minerals Americas"/>
    <x v="0"/>
    <s v="BM Escondida"/>
    <s v="30129536"/>
    <s v="CML COMERCIALIZADORA E IMPORTADORA"/>
    <s v="CPT"/>
    <s v="BY AGREEMENT"/>
    <s v="20"/>
    <s v="SM5"/>
    <x v="2"/>
    <s v="#"/>
    <s v="Not assigned"/>
    <s v="4519796920"/>
    <n v="2"/>
    <s v="Standard"/>
    <s v="#"/>
    <d v="2026-06-24T00:00:00"/>
    <x v="54"/>
    <s v="#"/>
    <d v="2026-09-25T00:00:00"/>
    <d v="2026-06-24T00:00:00"/>
    <n v="1"/>
    <n v="0"/>
    <n v="0"/>
    <s v="SEM 39"/>
    <s v="Sep-2026"/>
    <x v="2"/>
    <n v="38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029499"/>
    <s v="SHIM,SS316,1MM THK,2"/>
    <s v="4519851472"/>
    <n v="19"/>
    <s v="Standard"/>
    <s v="X"/>
    <d v="2026-07-05T00:00:00"/>
    <x v="159"/>
    <d v="2026-07-20T00:00:00"/>
    <d v="2026-07-28T00:00:00"/>
    <d v="2026-07-20T00:00:00"/>
    <n v="1"/>
    <n v="1"/>
    <n v="100"/>
    <s v="SEM 31"/>
    <s v="Jul-2026"/>
    <x v="0"/>
    <n v="8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75043"/>
    <s v="LAMP,120VAC,150W,WHT"/>
    <s v="4519942088"/>
    <n v="10"/>
    <s v="Standard"/>
    <s v="X"/>
    <d v="2026-07-23T00:00:00"/>
    <x v="105"/>
    <d v="2026-08-12T00:00:00"/>
    <d v="2026-08-25T00:00:00"/>
    <d v="2026-08-12T00:00:00"/>
    <n v="1"/>
    <n v="1"/>
    <n v="100"/>
    <s v="SEM 35"/>
    <s v="Aug-2026"/>
    <x v="0"/>
    <n v="13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77795"/>
    <s v="ROD,CONT THD,1-5/8IN"/>
    <s v="4519314265"/>
    <n v="114"/>
    <s v="Standard"/>
    <s v="X"/>
    <d v="2026-03-13T00:00:00"/>
    <x v="69"/>
    <d v="2026-04-02T00:00:00"/>
    <d v="2026-04-05T00:00:00"/>
    <d v="2026-04-02T00:00:00"/>
    <n v="1"/>
    <n v="1"/>
    <n v="100"/>
    <s v="SEM 15"/>
    <s v="Apr-2026"/>
    <x v="0"/>
    <n v="3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1628"/>
    <s v="LINER,WEAR,WHT IRON,"/>
    <s v="4519030143"/>
    <n v="34"/>
    <s v="Standard"/>
    <s v="X"/>
    <d v="2026-01-07T00:00:00"/>
    <x v="202"/>
    <d v="2026-02-06T00:00:00"/>
    <d v="2026-02-19T00:00:00"/>
    <d v="2026-02-06T00:00:00"/>
    <n v="1"/>
    <n v="1"/>
    <n v="100"/>
    <s v="SEM 8"/>
    <s v="Feb-2026"/>
    <x v="0"/>
    <n v="13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1628"/>
    <s v="LINER,WEAR,WHT IRON,"/>
    <s v="4519493011"/>
    <n v="34"/>
    <s v="Standard"/>
    <s v="X"/>
    <d v="2026-04-22T00:00:00"/>
    <x v="17"/>
    <d v="2026-06-01T00:00:00"/>
    <d v="2026-06-03T00:00:00"/>
    <d v="2026-06-01T00:00:00"/>
    <n v="1"/>
    <n v="1"/>
    <n v="100"/>
    <s v="SEM 23"/>
    <s v="Jun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1628"/>
    <s v="LINER,WEAR,WHT IRON,"/>
    <s v="4519991170"/>
    <n v="154"/>
    <s v="Standard"/>
    <s v="#"/>
    <d v="2026-08-03T00:00:00"/>
    <x v="150"/>
    <s v="#"/>
    <d v="2026-09-15T00:00:00"/>
    <d v="2026-08-03T00:00:00"/>
    <n v="1"/>
    <n v="0"/>
    <n v="0"/>
    <s v="SEM 38"/>
    <s v="Sep-2026"/>
    <x v="2"/>
    <n v="28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1628"/>
    <s v="LINER,WEAR,WHT IRON,"/>
    <s v="4519996983"/>
    <n v="34"/>
    <s v="Standard"/>
    <s v="#"/>
    <d v="2026-08-04T00:00:00"/>
    <x v="1"/>
    <s v="#"/>
    <d v="2026-09-16T00:00:00"/>
    <d v="2026-08-04T00:00:00"/>
    <n v="1"/>
    <n v="0"/>
    <n v="0"/>
    <s v="SEM 38"/>
    <s v="Sep-2026"/>
    <x v="2"/>
    <n v="29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2511"/>
    <s v="BAR,STL ASTM A36,FLA"/>
    <s v="4519562175"/>
    <n v="11"/>
    <s v="Standard"/>
    <s v="X"/>
    <d v="2026-05-07T00:00:00"/>
    <x v="34"/>
    <d v="2026-05-27T00:00:00"/>
    <d v="2026-05-29T00:00:00"/>
    <d v="2026-05-27T00:00:00"/>
    <n v="1"/>
    <n v="1"/>
    <n v="100"/>
    <s v="SEM 22"/>
    <s v="May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2937"/>
    <s v="FILTER-LUBRICATOR,AI"/>
    <s v="4518806826"/>
    <n v="5"/>
    <s v="Standard"/>
    <s v="X"/>
    <d v="2025-11-12T00:00:00"/>
    <x v="126"/>
    <d v="2026-06-01T00:00:00"/>
    <d v="2026-06-01T00:00:00"/>
    <d v="2026-06-01T00:00:00"/>
    <n v="1"/>
    <n v="1"/>
    <n v="100"/>
    <s v="SEM 23"/>
    <s v="Jun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2937"/>
    <s v="FILTER-LUBRICATOR,AI"/>
    <s v="4519642262"/>
    <n v="5"/>
    <s v="Standard"/>
    <s v="X"/>
    <d v="2026-05-22T00:00:00"/>
    <x v="39"/>
    <d v="2026-06-02T00:00:00"/>
    <d v="2026-06-24T00:00:00"/>
    <d v="2026-06-02T00:00:00"/>
    <n v="1"/>
    <n v="1"/>
    <n v="100"/>
    <s v="SEM 26"/>
    <s v="Jun-2026"/>
    <x v="0"/>
    <n v="22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4098"/>
    <s v="PUTTY,EPOXY,GRY,87 S"/>
    <s v="4518398257"/>
    <n v="500"/>
    <s v="Standard"/>
    <s v="X"/>
    <d v="2025-08-13T00:00:00"/>
    <x v="126"/>
    <d v="2025-08-26T00:00:00"/>
    <d v="2026-06-01T00:00:00"/>
    <d v="2025-08-26T00:00:00"/>
    <n v="1"/>
    <n v="1"/>
    <n v="100"/>
    <s v="SEM 23"/>
    <s v="Jun-2026"/>
    <x v="0"/>
    <n v="279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4098"/>
    <s v="PUTTY,EPOXY,GRY,87 S"/>
    <s v="4518978870"/>
    <n v="1000"/>
    <s v="Standard"/>
    <s v="X"/>
    <d v="2025-12-24T00:00:00"/>
    <x v="236"/>
    <d v="2026-01-05T00:00:00"/>
    <d v="2026-01-21T00:00:00"/>
    <d v="2026-01-06T00:00:00"/>
    <n v="1"/>
    <n v="1"/>
    <n v="100"/>
    <s v="SEM 4"/>
    <s v="Jan-2026"/>
    <x v="0"/>
    <n v="16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4098"/>
    <s v="PUTTY,EPOXY,GRY,87 S"/>
    <s v="4519982163"/>
    <n v="10"/>
    <s v="Standard"/>
    <s v="#"/>
    <d v="2026-08-01T00:00:00"/>
    <x v="82"/>
    <s v="#"/>
    <d v="2026-08-29T00:00:00"/>
    <d v="2026-08-01T00:00:00"/>
    <n v="1"/>
    <n v="0"/>
    <n v="0"/>
    <s v="SEM 35"/>
    <s v="Aug-2026"/>
    <x v="2"/>
    <n v="11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8242"/>
    <s v="ROPE,FIBROUS,1/2IN D"/>
    <s v="4518997216"/>
    <n v="2400"/>
    <s v="Standard"/>
    <s v="X"/>
    <d v="2025-12-30T00:00:00"/>
    <x v="33"/>
    <d v="2026-01-09T00:00:00"/>
    <d v="2026-01-22T00:00:00"/>
    <d v="2026-01-09T00:00:00"/>
    <n v="1"/>
    <n v="1"/>
    <n v="100"/>
    <s v="SEM 4"/>
    <s v="Jan-2026"/>
    <x v="0"/>
    <n v="13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8242"/>
    <s v="ROPE,FIBROUS,1/2IN D"/>
    <s v="4519687727"/>
    <n v="3400"/>
    <s v="Standard"/>
    <s v="X"/>
    <d v="2026-06-02T00:00:00"/>
    <x v="74"/>
    <d v="2026-06-23T00:00:00"/>
    <d v="2026-06-25T00:00:00"/>
    <d v="2026-06-23T00:00:00"/>
    <n v="1"/>
    <n v="1"/>
    <n v="100"/>
    <s v="SEM 26"/>
    <s v="Jun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8242"/>
    <s v="ROPE,FIBROUS,1/2IN D"/>
    <s v="4519973603"/>
    <n v="2400"/>
    <s v="Standard"/>
    <s v="X"/>
    <d v="2026-07-30T00:00:00"/>
    <x v="40"/>
    <d v="2026-08-10T00:00:00"/>
    <d v="2026-08-22T00:00:00"/>
    <d v="2026-08-10T00:00:00"/>
    <n v="1"/>
    <n v="1"/>
    <n v="100"/>
    <s v="SEM 34"/>
    <s v="Aug-2026"/>
    <x v="0"/>
    <n v="12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8242"/>
    <s v="ROPE,FIBROUS,1/2IN D"/>
    <s v="4520017144"/>
    <n v="2400"/>
    <s v="Standard"/>
    <s v="#"/>
    <d v="2026-08-08T00:00:00"/>
    <x v="66"/>
    <s v="#"/>
    <d v="2026-08-31T00:00:00"/>
    <d v="2026-08-08T00:00:00"/>
    <n v="1"/>
    <n v="0"/>
    <n v="0"/>
    <s v="SEM 36"/>
    <s v="Aug-2026"/>
    <x v="2"/>
    <n v="13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8322"/>
    <s v="GREASE,SYN,CHAIN DRV"/>
    <s v="4520009413"/>
    <n v="20"/>
    <s v="Standard"/>
    <s v="#"/>
    <d v="2026-08-06T00:00:00"/>
    <x v="137"/>
    <s v="#"/>
    <d v="2026-09-06T00:00:00"/>
    <d v="2026-08-06T00:00:00"/>
    <n v="1"/>
    <n v="0"/>
    <n v="0"/>
    <s v="SEM 37"/>
    <s v="Sep-2026"/>
    <x v="2"/>
    <n v="19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8327"/>
    <s v="TAPE,ANTISEIZING,PTF"/>
    <s v="4519773390"/>
    <n v="1840"/>
    <s v="Standard"/>
    <s v="X"/>
    <d v="2026-06-20T00:00:00"/>
    <x v="237"/>
    <d v="2026-07-06T00:00:00"/>
    <d v="2026-07-12T00:00:00"/>
    <d v="2026-06-24T00:00:00"/>
    <n v="1"/>
    <n v="0"/>
    <n v="0"/>
    <s v="SEM 29"/>
    <s v="Jul-2026"/>
    <x v="0"/>
    <n v="6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8327"/>
    <s v="TAPE,ANTISEIZING,PTF"/>
    <s v="4519893160"/>
    <n v="70"/>
    <s v="Standard"/>
    <s v="X"/>
    <d v="2026-07-14T00:00:00"/>
    <x v="50"/>
    <d v="2026-08-03T00:00:00"/>
    <d v="2026-08-06T00:00:00"/>
    <d v="2026-08-03T00:00:00"/>
    <n v="1"/>
    <n v="1"/>
    <n v="100"/>
    <s v="SEM 32"/>
    <s v="Aug-2026"/>
    <x v="0"/>
    <n v="3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8327"/>
    <s v="TAPE,ANTISEIZING,PTF"/>
    <s v="4520020057"/>
    <n v="70"/>
    <s v="Standard"/>
    <s v="#"/>
    <d v="2026-08-09T00:00:00"/>
    <x v="178"/>
    <s v="#"/>
    <d v="2026-09-01T00:00:00"/>
    <d v="2026-08-09T00:00:00"/>
    <n v="1"/>
    <n v="0"/>
    <n v="0"/>
    <s v="SEM 36"/>
    <s v="Sep-2026"/>
    <x v="2"/>
    <n v="14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8327"/>
    <s v="TAPE,ANTISEIZING,PTF"/>
    <s v="4520049157"/>
    <n v="1980"/>
    <s v="Standard"/>
    <s v="#"/>
    <d v="2026-08-15T00:00:00"/>
    <x v="231"/>
    <s v="#"/>
    <d v="2026-09-07T00:00:00"/>
    <d v="2026-08-15T00:00:00"/>
    <n v="1"/>
    <n v="0"/>
    <n v="0"/>
    <s v="SEM 37"/>
    <s v="Sep-2026"/>
    <x v="2"/>
    <n v="20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8329"/>
    <s v="ANTISEIZE,NI BASE,TI"/>
    <s v="4519389478"/>
    <n v="27"/>
    <s v="Standard"/>
    <s v="X"/>
    <d v="2026-03-30T00:00:00"/>
    <x v="65"/>
    <d v="2026-05-04T00:00:00"/>
    <d v="2026-05-20T00:00:00"/>
    <d v="2026-05-04T00:00:00"/>
    <n v="1"/>
    <n v="1"/>
    <n v="100"/>
    <s v="SEM 21"/>
    <s v="May-2026"/>
    <x v="0"/>
    <n v="16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8707"/>
    <s v="DRUM,WIDE OPENING,PL"/>
    <s v="4520004364"/>
    <n v="1000"/>
    <s v="Standard"/>
    <s v="#"/>
    <d v="2026-08-05T00:00:00"/>
    <x v="231"/>
    <s v="#"/>
    <d v="2026-09-07T00:00:00"/>
    <d v="2026-08-05T00:00:00"/>
    <n v="1"/>
    <n v="0"/>
    <n v="0"/>
    <s v="SEM 37"/>
    <s v="Sep-2026"/>
    <x v="2"/>
    <n v="20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8829"/>
    <s v="COUPLING,CLAMP,PIPE,"/>
    <s v="4519123203"/>
    <n v="7"/>
    <s v="Standard"/>
    <s v="X"/>
    <d v="2026-01-29T00:00:00"/>
    <x v="28"/>
    <d v="2026-03-02T00:00:00"/>
    <d v="2026-03-08T00:00:00"/>
    <d v="2026-03-02T00:00:00"/>
    <n v="1"/>
    <n v="1"/>
    <n v="100"/>
    <s v="SEM 11"/>
    <s v="Mar-2026"/>
    <x v="0"/>
    <n v="6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8831"/>
    <s v="COUPLING,CLAMP,PIPE,"/>
    <s v="4519682638"/>
    <n v="5"/>
    <s v="Standard"/>
    <s v="X"/>
    <d v="2026-06-01T00:00:00"/>
    <x v="93"/>
    <d v="2026-07-01T00:00:00"/>
    <d v="2026-07-04T00:00:00"/>
    <d v="2026-07-01T00:00:00"/>
    <n v="1"/>
    <n v="1"/>
    <n v="100"/>
    <s v="SEM 27"/>
    <s v="Jul-2026"/>
    <x v="0"/>
    <n v="3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8831"/>
    <s v="COUPLING,CLAMP,PIPE,"/>
    <s v="4519990841"/>
    <n v="12"/>
    <s v="Standard"/>
    <s v="X"/>
    <d v="2026-08-03T00:00:00"/>
    <x v="134"/>
    <d v="2026-08-14T00:00:00"/>
    <d v="2026-09-05T00:00:00"/>
    <d v="2026-08-14T00:00:00"/>
    <n v="1"/>
    <n v="1"/>
    <n v="100"/>
    <s v="SEM 36"/>
    <s v="Sep-2026"/>
    <x v="0"/>
    <n v="22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8833"/>
    <s v="COUPLING,CLAMP,PIPE,"/>
    <s v="4519351309"/>
    <n v="1"/>
    <s v="Standard"/>
    <s v="X"/>
    <d v="2026-03-22T00:00:00"/>
    <x v="103"/>
    <d v="2026-04-02T00:00:00"/>
    <d v="2026-04-29T00:00:00"/>
    <d v="2026-04-02T00:00:00"/>
    <n v="1"/>
    <n v="1"/>
    <n v="100"/>
    <s v="SEM 18"/>
    <s v="Apr-2026"/>
    <x v="0"/>
    <n v="27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8834"/>
    <s v="COUPLING,CLAMP,PIPE,"/>
    <s v="4519010174"/>
    <n v="2"/>
    <s v="Standard"/>
    <s v="X"/>
    <d v="2026-01-02T00:00:00"/>
    <x v="85"/>
    <d v="2026-02-02T00:00:00"/>
    <d v="2026-02-04T00:00:00"/>
    <d v="2026-02-02T00:00:00"/>
    <n v="1"/>
    <n v="1"/>
    <n v="100"/>
    <s v="SEM 6"/>
    <s v="Feb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8834"/>
    <s v="COUPLING,CLAMP,PIPE,"/>
    <s v="4519174975"/>
    <n v="12"/>
    <s v="Standard"/>
    <s v="X"/>
    <d v="2026-02-10T00:00:00"/>
    <x v="238"/>
    <d v="2026-03-02T00:00:00"/>
    <d v="2026-03-15T00:00:00"/>
    <d v="2026-03-02T00:00:00"/>
    <n v="1"/>
    <n v="1"/>
    <n v="100"/>
    <s v="SEM 12"/>
    <s v="Mar-2026"/>
    <x v="0"/>
    <n v="13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8834"/>
    <s v="COUPLING,CLAMP,PIPE,"/>
    <s v="4519705202"/>
    <n v="2"/>
    <s v="Standard"/>
    <s v="X"/>
    <d v="2026-06-05T00:00:00"/>
    <x v="239"/>
    <d v="2026-07-01T00:00:00"/>
    <d v="2026-07-08T00:00:00"/>
    <d v="2026-07-01T00:00:00"/>
    <n v="1"/>
    <n v="1"/>
    <n v="100"/>
    <s v="SEM 28"/>
    <s v="Jul-2026"/>
    <x v="0"/>
    <n v="7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8834"/>
    <s v="COUPLING,CLAMP,PIPE,"/>
    <s v="4520008501"/>
    <n v="18"/>
    <s v="Standard"/>
    <s v="#"/>
    <d v="2026-08-06T00:00:00"/>
    <x v="240"/>
    <s v="#"/>
    <d v="2026-09-08T00:00:00"/>
    <d v="2026-08-06T00:00:00"/>
    <n v="1"/>
    <n v="0"/>
    <n v="0"/>
    <s v="SEM 37"/>
    <s v="Sep-2026"/>
    <x v="2"/>
    <n v="21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88834"/>
    <s v="COUPLING,CLAMP,PIPE,"/>
    <s v="4520013571"/>
    <n v="3"/>
    <s v="Standard"/>
    <s v="#"/>
    <d v="2026-08-07T00:00:00"/>
    <x v="148"/>
    <s v="#"/>
    <d v="2026-09-09T00:00:00"/>
    <d v="2026-08-07T00:00:00"/>
    <n v="1"/>
    <n v="0"/>
    <n v="0"/>
    <s v="SEM 37"/>
    <s v="Sep-2026"/>
    <x v="2"/>
    <n v="22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90543"/>
    <s v="FILTER ELEMENT,FLUID"/>
    <s v="4519539050"/>
    <n v="12"/>
    <s v="Standard"/>
    <s v="X"/>
    <d v="2026-05-02T00:00:00"/>
    <x v="109"/>
    <d v="2026-06-01T00:00:00"/>
    <d v="2026-06-04T00:00:00"/>
    <d v="2026-06-01T00:00:00"/>
    <n v="1"/>
    <n v="1"/>
    <n v="100"/>
    <s v="SEM 23"/>
    <s v="Jun-2026"/>
    <x v="0"/>
    <n v="3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99545"/>
    <s v="METAL,EXPANDED,5MM T"/>
    <s v="4519504048"/>
    <n v="5"/>
    <s v="Standard"/>
    <s v="X"/>
    <d v="2026-04-24T00:00:00"/>
    <x v="193"/>
    <d v="2026-05-12T00:00:00"/>
    <d v="2026-05-16T00:00:00"/>
    <d v="2026-05-12T00:00:00"/>
    <n v="1"/>
    <n v="1"/>
    <n v="100"/>
    <s v="SEM 20"/>
    <s v="May-2026"/>
    <x v="0"/>
    <n v="4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399545"/>
    <s v="METAL,EXPANDED,5MM T"/>
    <s v="4519510432"/>
    <n v="1"/>
    <s v="Standard"/>
    <s v="X"/>
    <d v="2026-04-26T00:00:00"/>
    <x v="186"/>
    <d v="2026-05-12T00:00:00"/>
    <d v="2026-05-18T00:00:00"/>
    <d v="2026-05-12T00:00:00"/>
    <n v="1"/>
    <n v="1"/>
    <n v="100"/>
    <s v="SEM 21"/>
    <s v="May-2026"/>
    <x v="0"/>
    <n v="6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409507"/>
    <s v="CLAMP,5 X 3IN,SERGOM"/>
    <s v="4519282854"/>
    <n v="95"/>
    <s v="Standard"/>
    <s v="X"/>
    <d v="2026-03-07T00:00:00"/>
    <x v="241"/>
    <d v="2026-03-26T00:00:00"/>
    <d v="2026-03-30T00:00:00"/>
    <d v="2026-03-26T00:00:00"/>
    <n v="1"/>
    <n v="1"/>
    <n v="100"/>
    <s v="SEM 14"/>
    <s v="Mar-2026"/>
    <x v="0"/>
    <n v="4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409507"/>
    <s v="CLAMP,5 X 3IN,SERGOM"/>
    <s v="4519572488"/>
    <n v="2348"/>
    <s v="Standard"/>
    <s v="X"/>
    <d v="2026-05-09T00:00:00"/>
    <x v="242"/>
    <d v="2026-05-27T00:00:00"/>
    <d v="2026-05-31T00:00:00"/>
    <d v="2026-05-27T00:00:00"/>
    <n v="1"/>
    <n v="1"/>
    <n v="100"/>
    <s v="SEM 23"/>
    <s v="May-2026"/>
    <x v="0"/>
    <n v="4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410934"/>
    <s v="STRIP,MTL,TYPE Z,STR"/>
    <s v="4519342232"/>
    <n v="15"/>
    <s v="Standard"/>
    <s v="X"/>
    <d v="2026-03-19T00:00:00"/>
    <x v="243"/>
    <d v="2026-04-13T00:00:00"/>
    <d v="2026-04-16T00:00:00"/>
    <d v="2026-04-13T00:00:00"/>
    <n v="1"/>
    <n v="1"/>
    <n v="100"/>
    <s v="SEM 16"/>
    <s v="Apr-2026"/>
    <x v="0"/>
    <n v="3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410934"/>
    <s v="STRIP,MTL,TYPE Z,STR"/>
    <s v="4519998792"/>
    <n v="24"/>
    <s v="Standard"/>
    <s v="#"/>
    <d v="2026-08-05T00:00:00"/>
    <x v="178"/>
    <s v="#"/>
    <d v="2026-09-01T00:00:00"/>
    <d v="2026-08-05T00:00:00"/>
    <n v="1"/>
    <n v="0"/>
    <n v="0"/>
    <s v="SEM 36"/>
    <s v="Sep-2026"/>
    <x v="2"/>
    <n v="14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417315"/>
    <s v="CONTACTOR,LT,WORK,SI"/>
    <s v="4518940179"/>
    <n v="3"/>
    <s v="Standard"/>
    <s v="X"/>
    <d v="2025-12-15T00:00:00"/>
    <x v="15"/>
    <d v="2026-08-07T00:00:00"/>
    <d v="2026-01-17T00:00:00"/>
    <d v="2026-08-07T00:00:00"/>
    <n v="1"/>
    <n v="0"/>
    <n v="0"/>
    <s v="SEM 3"/>
    <s v="Jan-2026"/>
    <x v="0"/>
    <n v="-202"/>
    <x v="1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417315"/>
    <s v="CONTACTOR,LT,WORK,SI"/>
    <s v="4519006937"/>
    <n v="5"/>
    <s v="Standard"/>
    <s v="X"/>
    <d v="2026-01-02T00:00:00"/>
    <x v="85"/>
    <d v="2026-08-07T00:00:00"/>
    <d v="2026-02-04T00:00:00"/>
    <d v="2026-08-07T00:00:00"/>
    <n v="1"/>
    <n v="0"/>
    <n v="0"/>
    <s v="SEM 6"/>
    <s v="Feb-2026"/>
    <x v="0"/>
    <n v="-184"/>
    <x v="1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454294"/>
    <s v="SPIGOT,20IN,ESCONDID"/>
    <s v="4518974402"/>
    <n v="2"/>
    <s v="Standard"/>
    <s v="X"/>
    <d v="2025-12-23T00:00:00"/>
    <x v="96"/>
    <d v="2026-02-09T00:00:00"/>
    <d v="2026-02-09T00:00:00"/>
    <d v="2026-02-09T00:00:00"/>
    <n v="1"/>
    <n v="1"/>
    <n v="100"/>
    <s v="SEM 7"/>
    <s v="Feb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454294"/>
    <s v="SPIGOT,20IN,ESCONDID"/>
    <s v="4519285829"/>
    <n v="2"/>
    <s v="Standard"/>
    <s v="X"/>
    <d v="2026-03-08T00:00:00"/>
    <x v="23"/>
    <d v="2026-07-02T00:00:00"/>
    <d v="2026-07-31T00:00:00"/>
    <d v="2026-07-02T00:00:00"/>
    <n v="1"/>
    <n v="1"/>
    <n v="100"/>
    <s v="SEM 31"/>
    <s v="Jul-2026"/>
    <x v="0"/>
    <n v="29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454294"/>
    <s v="SPIGOT,20IN,ESCONDID"/>
    <s v="4519957012"/>
    <n v="2"/>
    <s v="Standard"/>
    <s v="#"/>
    <d v="2026-07-27T00:00:00"/>
    <x v="52"/>
    <s v="#"/>
    <d v="2026-09-13T00:00:00"/>
    <d v="2026-07-27T00:00:00"/>
    <n v="1"/>
    <n v="0"/>
    <n v="0"/>
    <s v="SEM 38"/>
    <s v="Sep-2026"/>
    <x v="2"/>
    <n v="26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472482"/>
    <s v="COATING COMPOUND,WEA"/>
    <s v="4519423144"/>
    <n v="300"/>
    <s v="Standard"/>
    <s v="X"/>
    <d v="2026-04-07T00:00:00"/>
    <x v="115"/>
    <d v="2026-05-06T00:00:00"/>
    <d v="2026-05-10T00:00:00"/>
    <d v="2026-05-06T00:00:00"/>
    <n v="1"/>
    <n v="1"/>
    <n v="100"/>
    <s v="SEM 20"/>
    <s v="May-2026"/>
    <x v="0"/>
    <n v="4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485393"/>
    <s v="BUSHING,SLV,370MM BO"/>
    <s v="4519220792"/>
    <n v="1"/>
    <s v="Standard"/>
    <s v="X"/>
    <d v="2026-02-20T00:00:00"/>
    <x v="244"/>
    <d v="2026-06-01T00:00:00"/>
    <d v="2026-09-30T00:00:00"/>
    <d v="2026-06-01T00:00:00"/>
    <n v="1"/>
    <n v="1"/>
    <n v="100"/>
    <s v="SEM 40"/>
    <s v="Sep-2026"/>
    <x v="0"/>
    <n v="121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485393"/>
    <s v="BUSHING,SLV,370MM BO"/>
    <s v="4519429064"/>
    <n v="1"/>
    <s v="Standard"/>
    <s v="X"/>
    <d v="2026-04-08T00:00:00"/>
    <x v="70"/>
    <d v="2026-06-01T00:00:00"/>
    <d v="2026-06-08T00:00:00"/>
    <d v="2026-06-01T00:00:00"/>
    <n v="1"/>
    <n v="1"/>
    <n v="100"/>
    <s v="SEM 24"/>
    <s v="Jun-2026"/>
    <x v="0"/>
    <n v="7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496728"/>
    <s v="RUBBER REPAIR COMPOU"/>
    <s v="4519409763"/>
    <n v="13"/>
    <s v="Standard"/>
    <s v="X"/>
    <d v="2026-04-03T00:00:00"/>
    <x v="245"/>
    <d v="2026-04-21T00:00:00"/>
    <d v="2026-04-21T00:00:00"/>
    <d v="2026-04-21T00:00:00"/>
    <n v="1"/>
    <n v="1"/>
    <n v="100"/>
    <s v="SEM 17"/>
    <s v="Apr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496728"/>
    <s v="RUBBER REPAIR COMPOU"/>
    <s v="4519574503"/>
    <n v="20"/>
    <s v="Standard"/>
    <s v="X"/>
    <d v="2026-05-10T00:00:00"/>
    <x v="229"/>
    <d v="2026-05-27T00:00:00"/>
    <d v="2026-05-27T00:00:00"/>
    <d v="2026-05-11T00:00:00"/>
    <n v="1"/>
    <n v="0"/>
    <n v="0"/>
    <s v="SEM 22"/>
    <s v="May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622544"/>
    <s v="WASHER,FLAT,M16,RUSS"/>
    <s v="4519389027"/>
    <n v="32"/>
    <s v="Standard"/>
    <s v="X"/>
    <d v="2026-03-30T00:00:00"/>
    <x v="132"/>
    <d v="2026-06-03T00:00:00"/>
    <d v="2026-07-26T00:00:00"/>
    <d v="2026-06-03T00:00:00"/>
    <n v="1"/>
    <n v="1"/>
    <n v="100"/>
    <s v="SEM 31"/>
    <s v="Jul-2026"/>
    <x v="0"/>
    <n v="53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834963"/>
    <s v="LIGHT,INSTRUMENT,YLW"/>
    <s v="4519111483"/>
    <n v="1"/>
    <s v="Standard"/>
    <s v="X"/>
    <d v="2026-01-27T00:00:00"/>
    <x v="246"/>
    <d v="2026-02-12T00:00:00"/>
    <d v="2026-03-01T00:00:00"/>
    <d v="2026-02-12T00:00:00"/>
    <n v="1"/>
    <n v="1"/>
    <n v="100"/>
    <s v="SEM 10"/>
    <s v="Mar-2026"/>
    <x v="0"/>
    <n v="17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839328"/>
    <s v="SEAL,PLAIN,RBR,35 (+"/>
    <s v="4519492379"/>
    <n v="2"/>
    <s v="Standard"/>
    <s v="X"/>
    <d v="2026-04-21T00:00:00"/>
    <x v="234"/>
    <d v="2026-05-18T00:00:00"/>
    <d v="2026-05-19T00:00:00"/>
    <d v="2026-05-18T00:00:00"/>
    <n v="1"/>
    <n v="1"/>
    <n v="100"/>
    <s v="SEM 21"/>
    <s v="May-2026"/>
    <x v="0"/>
    <n v="3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864456"/>
    <s v="SHOWER ASSY,DECONTAM"/>
    <s v="4518852794"/>
    <n v="1"/>
    <s v="Standard"/>
    <s v="X"/>
    <d v="2025-11-24T00:00:00"/>
    <x v="247"/>
    <d v="2026-01-02T00:00:00"/>
    <d v="2026-01-25T00:00:00"/>
    <d v="2026-01-02T00:00:00"/>
    <n v="1"/>
    <n v="1"/>
    <n v="100"/>
    <s v="SEM 5"/>
    <s v="Jan-2026"/>
    <x v="0"/>
    <n v="23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0864456"/>
    <s v="SHOWER ASSY,DECONTAM"/>
    <s v="4519990594"/>
    <n v="1"/>
    <s v="Standard"/>
    <s v="#"/>
    <d v="2026-08-03T00:00:00"/>
    <x v="31"/>
    <s v="#"/>
    <d v="2026-10-05T00:00:00"/>
    <d v="2026-08-03T00:00:00"/>
    <n v="1"/>
    <n v="0"/>
    <n v="0"/>
    <s v="SEM 41"/>
    <s v="Oct-2026"/>
    <x v="2"/>
    <n v="48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1166737"/>
    <s v="ARM,TORQUE,ARTICULAT"/>
    <s v="4519910144"/>
    <n v="10"/>
    <s v="Standard"/>
    <s v="X"/>
    <d v="2026-07-17T00:00:00"/>
    <x v="75"/>
    <d v="2026-08-03T00:00:00"/>
    <d v="2026-08-09T00:00:00"/>
    <d v="2026-08-03T00:00:00"/>
    <n v="1"/>
    <n v="1"/>
    <n v="100"/>
    <s v="SEM 33"/>
    <s v="Aug-2026"/>
    <x v="0"/>
    <n v="6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1197564"/>
    <s v="REEL &amp; HOSE ASSY,LAY"/>
    <s v="4518912484"/>
    <n v="6"/>
    <s v="Standard"/>
    <s v="X"/>
    <d v="2025-12-08T00:00:00"/>
    <x v="190"/>
    <d v="2026-01-05T00:00:00"/>
    <d v="2026-01-10T00:00:00"/>
    <d v="2026-01-05T00:00:00"/>
    <n v="1"/>
    <n v="1"/>
    <n v="100"/>
    <s v="SEM 2"/>
    <s v="Jan-2026"/>
    <x v="0"/>
    <n v="5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1197588"/>
    <s v="REEL &amp; HOSE ASSY,LAY"/>
    <s v="4518913137"/>
    <n v="74"/>
    <s v="Standard"/>
    <s v="X"/>
    <d v="2025-12-08T00:00:00"/>
    <x v="190"/>
    <d v="2026-01-05T00:00:00"/>
    <d v="2026-01-10T00:00:00"/>
    <d v="2026-01-05T00:00:00"/>
    <n v="1"/>
    <n v="1"/>
    <n v="100"/>
    <s v="SEM 2"/>
    <s v="Jan-2026"/>
    <x v="0"/>
    <n v="5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1197588"/>
    <s v="REEL &amp; HOSE ASSY,LAY"/>
    <s v="4519107667"/>
    <n v="80"/>
    <s v="Standard"/>
    <s v="X"/>
    <d v="2026-01-26T00:00:00"/>
    <x v="27"/>
    <d v="2026-02-20T00:00:00"/>
    <d v="2026-02-28T00:00:00"/>
    <d v="2026-02-24T00:00:00"/>
    <n v="1"/>
    <n v="1"/>
    <n v="100"/>
    <s v="SEM 9"/>
    <s v="Feb-2026"/>
    <x v="0"/>
    <n v="8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1197588"/>
    <s v="REEL &amp; HOSE ASSY,LAY"/>
    <s v="4520041412"/>
    <n v="30"/>
    <s v="Standard"/>
    <s v="#"/>
    <d v="2026-08-13T00:00:00"/>
    <x v="150"/>
    <s v="#"/>
    <d v="2026-09-15T00:00:00"/>
    <d v="2026-08-13T00:00:00"/>
    <n v="1"/>
    <n v="0"/>
    <n v="0"/>
    <s v="SEM 38"/>
    <s v="Sep-2026"/>
    <x v="2"/>
    <n v="28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1223322"/>
    <s v="SLEEPER,CMLCOMER 300"/>
    <s v="4519236821"/>
    <n v="50"/>
    <s v="Standard"/>
    <s v="X"/>
    <d v="2026-02-24T00:00:00"/>
    <x v="49"/>
    <d v="2026-03-13T00:00:00"/>
    <d v="2026-03-29T00:00:00"/>
    <d v="2026-03-13T00:00:00"/>
    <n v="1"/>
    <n v="1"/>
    <n v="100"/>
    <s v="SEM 14"/>
    <s v="Mar-2026"/>
    <x v="0"/>
    <n v="16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1223322"/>
    <s v="SLEEPER,CMLCOMER 300"/>
    <s v="4519394502"/>
    <n v="66"/>
    <s v="Standard"/>
    <s v="X"/>
    <d v="2026-03-31T00:00:00"/>
    <x v="5"/>
    <d v="2026-04-21T00:00:00"/>
    <d v="2026-04-29T00:00:00"/>
    <d v="2026-04-21T00:00:00"/>
    <n v="1"/>
    <n v="1"/>
    <n v="100"/>
    <s v="SEM 18"/>
    <s v="Apr-2026"/>
    <x v="0"/>
    <n v="9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1223322"/>
    <s v="SLEEPER,CMLCOMER 300"/>
    <s v="4519596472"/>
    <n v="63"/>
    <s v="Standard"/>
    <s v="X"/>
    <d v="2026-05-13T00:00:00"/>
    <x v="145"/>
    <d v="2026-06-03T00:00:00"/>
    <d v="2026-06-15T00:00:00"/>
    <d v="2026-06-03T00:00:00"/>
    <n v="1"/>
    <n v="1"/>
    <n v="100"/>
    <s v="SEM 25"/>
    <s v="Jun-2026"/>
    <x v="0"/>
    <n v="12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1244770"/>
    <s v="TIMBER,SOFTWOOD,DRAW"/>
    <s v="4519001143"/>
    <n v="287"/>
    <s v="Standard"/>
    <s v="X"/>
    <d v="2025-12-31T00:00:00"/>
    <x v="194"/>
    <d v="2026-02-02T00:00:00"/>
    <d v="2026-02-02T00:00:00"/>
    <d v="2026-02-02T00:00:00"/>
    <n v="1"/>
    <n v="1"/>
    <n v="100"/>
    <s v="SEM 6"/>
    <s v="Feb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1244770"/>
    <s v="TIMBER,SOFTWOOD,DRAW"/>
    <s v="4519036158"/>
    <n v="200"/>
    <s v="Standard"/>
    <s v="X"/>
    <d v="2026-01-08T00:00:00"/>
    <x v="99"/>
    <d v="2026-02-10T00:00:00"/>
    <d v="2026-02-10T00:00:00"/>
    <d v="2026-02-10T00:00:00"/>
    <n v="1"/>
    <n v="1"/>
    <n v="100"/>
    <s v="SEM 7"/>
    <s v="Feb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1254705"/>
    <s v="PALLET,MATL HANDLING"/>
    <s v="4519003118"/>
    <n v="23"/>
    <s v="Standard"/>
    <s v="X"/>
    <d v="2026-01-01T00:00:00"/>
    <x v="146"/>
    <d v="2026-02-02T00:00:00"/>
    <d v="2026-02-03T00:00:00"/>
    <d v="2026-02-02T00:00:00"/>
    <n v="1"/>
    <n v="1"/>
    <n v="100"/>
    <s v="SEM 6"/>
    <s v="Feb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1319354"/>
    <s v="FLASHLIGHT,1 X AA BA"/>
    <s v="4519065492"/>
    <n v="104"/>
    <s v="Standard"/>
    <s v="X"/>
    <d v="2026-01-15T00:00:00"/>
    <x v="248"/>
    <d v="2026-02-03T00:00:00"/>
    <d v="2026-02-07T00:00:00"/>
    <d v="2026-02-03T00:00:00"/>
    <n v="1"/>
    <n v="1"/>
    <n v="100"/>
    <s v="SEM 6"/>
    <s v="Feb-2026"/>
    <x v="0"/>
    <n v="4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1319354"/>
    <s v="FLASHLIGHT,1 X AA BA"/>
    <s v="4519469786"/>
    <n v="104"/>
    <s v="Standard"/>
    <s v="X"/>
    <d v="2026-04-17T00:00:00"/>
    <x v="199"/>
    <d v="2026-05-06T00:00:00"/>
    <d v="2026-05-09T00:00:00"/>
    <d v="2026-05-06T00:00:00"/>
    <n v="1"/>
    <n v="1"/>
    <n v="100"/>
    <s v="SEM 19"/>
    <s v="May-2026"/>
    <x v="0"/>
    <n v="3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1440328"/>
    <s v="SILICONE COMPOUND,HI"/>
    <s v="4518585174"/>
    <n v="6"/>
    <s v="Standard"/>
    <s v="X"/>
    <d v="2025-09-24T00:00:00"/>
    <x v="249"/>
    <d v="2026-02-02T00:00:00"/>
    <d v="2026-02-14T00:00:00"/>
    <d v="2026-02-02T00:00:00"/>
    <n v="1"/>
    <n v="1"/>
    <n v="100"/>
    <s v="SEM 7"/>
    <s v="Feb-2026"/>
    <x v="0"/>
    <n v="12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1440328"/>
    <s v="SILICONE COMPOUND,HI"/>
    <s v="4519048731"/>
    <n v="4"/>
    <s v="Standard"/>
    <s v="X"/>
    <d v="2026-01-12T00:00:00"/>
    <x v="109"/>
    <d v="2026-06-01T00:00:00"/>
    <d v="2026-06-04T00:00:00"/>
    <d v="2026-06-01T00:00:00"/>
    <n v="1"/>
    <n v="1"/>
    <n v="100"/>
    <s v="SEM 23"/>
    <s v="Jun-2026"/>
    <x v="0"/>
    <n v="3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1440328"/>
    <s v="SILICONE COMPOUND,HI"/>
    <s v="4519129416"/>
    <n v="2"/>
    <s v="Standard"/>
    <s v="X"/>
    <d v="2026-01-31T00:00:00"/>
    <x v="209"/>
    <d v="2026-05-06T00:00:00"/>
    <d v="2024-05-11T00:00:00"/>
    <d v="2026-05-06T00:00:00"/>
    <n v="1"/>
    <n v="1"/>
    <n v="100"/>
    <s v="SEM 25"/>
    <s v="Jun-2026"/>
    <x v="0"/>
    <n v="45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1440328"/>
    <s v="SILICONE COMPOUND,HI"/>
    <s v="4519168636"/>
    <n v="4"/>
    <s v="Standard"/>
    <s v="X"/>
    <d v="2026-02-09T00:00:00"/>
    <x v="22"/>
    <d v="2026-07-01T00:00:00"/>
    <d v="2026-07-02T00:00:00"/>
    <d v="2026-07-01T00:00:00"/>
    <n v="1"/>
    <n v="1"/>
    <n v="100"/>
    <s v="SEM 27"/>
    <s v="Jul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1440328"/>
    <s v="SILICONE COMPOUND,HI"/>
    <s v="4519298322"/>
    <n v="2"/>
    <s v="Standard"/>
    <s v="X"/>
    <d v="2026-03-10T00:00:00"/>
    <x v="23"/>
    <d v="2026-07-01T00:00:00"/>
    <d v="2026-07-31T00:00:00"/>
    <d v="2026-07-01T00:00:00"/>
    <n v="1"/>
    <n v="1"/>
    <n v="100"/>
    <s v="SEM 31"/>
    <s v="Jul-2026"/>
    <x v="0"/>
    <n v="30"/>
    <x v="0"/>
    <s v="2026"/>
  </r>
  <r>
    <s v="Minerals Americas"/>
    <x v="0"/>
    <s v="BM Escondida"/>
    <s v="30129536"/>
    <s v="CML COMERCIALIZADORA E IMPORTADORA"/>
    <s v="CPT"/>
    <s v="BY AGREEMENT"/>
    <s v="20"/>
    <s v="SM5"/>
    <x v="3"/>
    <s v="11440328"/>
    <s v="SILICONE COMPOUND,HI"/>
    <s v="4519996711"/>
    <n v="6"/>
    <s v="Standard"/>
    <s v="#"/>
    <d v="2026-08-04T00:00:00"/>
    <x v="250"/>
    <s v="#"/>
    <d v="2026-12-25T00:00:00"/>
    <d v="2026-08-04T00:00:00"/>
    <n v="1"/>
    <n v="0"/>
    <n v="0"/>
    <s v="SEM 52"/>
    <s v="Dec-2026"/>
    <x v="2"/>
    <n v="129"/>
    <x v="0"/>
    <s v="2026"/>
  </r>
  <r>
    <s v="Minerals Americas"/>
    <x v="0"/>
    <s v="BM Escondida"/>
    <s v="30129536"/>
    <s v="CML COMERCIALIZADORA E IMPORTADORA"/>
    <s v="CPT"/>
    <s v="BY AGREEMENT"/>
    <s v="20"/>
    <s v="SM5"/>
    <x v="4"/>
    <s v="10399815"/>
    <s v="TERMINAL BLOCK,PHOEN"/>
    <s v="4519250665"/>
    <n v="500"/>
    <s v="Standard"/>
    <s v="X"/>
    <d v="2026-02-27T00:00:00"/>
    <x v="1"/>
    <d v="2026-05-19T00:00:00"/>
    <d v="2026-09-16T00:00:00"/>
    <d v="2026-05-19T00:00:00"/>
    <n v="1"/>
    <n v="1"/>
    <n v="100"/>
    <s v="SEM 38"/>
    <s v="Sep-2026"/>
    <x v="0"/>
    <n v="120"/>
    <x v="0"/>
    <s v="2026"/>
  </r>
  <r>
    <s v="Minerals Americas"/>
    <x v="0"/>
    <s v="BM Escondida"/>
    <s v="30129536"/>
    <s v="CML COMERCIALIZADORA E IMPORTADORA"/>
    <s v="CPT"/>
    <s v="BY AGREEMENT"/>
    <s v="20"/>
    <s v="SM5"/>
    <x v="4"/>
    <s v="10934636"/>
    <s v="SENSOR,TECPROM 12055"/>
    <s v="4519055414"/>
    <n v="1"/>
    <s v="Standard"/>
    <s v="X"/>
    <d v="2026-01-13T00:00:00"/>
    <x v="45"/>
    <d v="2026-03-02T00:00:00"/>
    <d v="2026-03-02T00:00:00"/>
    <d v="2026-03-02T00:00:00"/>
    <n v="1"/>
    <n v="1"/>
    <n v="100"/>
    <s v="SEM 10"/>
    <s v="Mar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20"/>
    <s v="SM5"/>
    <x v="4"/>
    <s v="11140459"/>
    <s v="TRANSMITTER,LIQUID Q"/>
    <s v="4519591869"/>
    <n v="2"/>
    <s v="Standard"/>
    <s v="X"/>
    <d v="2026-05-13T00:00:00"/>
    <x v="19"/>
    <d v="2026-07-01T00:00:00"/>
    <d v="2026-07-15T00:00:00"/>
    <d v="2026-07-01T00:00:00"/>
    <n v="1"/>
    <n v="1"/>
    <n v="100"/>
    <s v="SEM 29"/>
    <s v="Jul-2026"/>
    <x v="0"/>
    <n v="14"/>
    <x v="0"/>
    <s v="2026"/>
  </r>
  <r>
    <s v="Minerals Americas"/>
    <x v="0"/>
    <s v="BM Escondida"/>
    <s v="30129536"/>
    <s v="CML COMERCIALIZADORA E IMPORTADORA"/>
    <s v="CPT"/>
    <s v="BY AGREEMENT"/>
    <s v="30"/>
    <s v="SM5"/>
    <x v="1"/>
    <s v="11438709"/>
    <s v="KEY,LOCK,PADDLE,LOCK"/>
    <s v="4519652735"/>
    <n v="1"/>
    <s v="Standard"/>
    <s v="X"/>
    <d v="2026-05-25T00:00:00"/>
    <x v="251"/>
    <d v="2026-07-01T00:00:00"/>
    <d v="2026-07-18T00:00:00"/>
    <d v="2026-07-01T00:00:00"/>
    <n v="1"/>
    <n v="1"/>
    <n v="100"/>
    <s v="SEM 29"/>
    <s v="Jul-2026"/>
    <x v="0"/>
    <n v="17"/>
    <x v="0"/>
    <s v="2026"/>
  </r>
  <r>
    <s v="Minerals Americas"/>
    <x v="0"/>
    <s v="BM Escondida"/>
    <s v="30129536"/>
    <s v="CML COMERCIALIZADORA E IMPORTADORA"/>
    <s v="CPT"/>
    <s v="BY AGREEMENT"/>
    <s v="30"/>
    <s v="SM5"/>
    <x v="2"/>
    <s v="#"/>
    <s v="Not assigned"/>
    <s v="4518684442"/>
    <n v="2000"/>
    <s v="Standard"/>
    <s v="X"/>
    <d v="2025-10-16T00:00:00"/>
    <x v="43"/>
    <d v="2025-11-18T00:00:00"/>
    <d v="2025-11-03T00:00:00"/>
    <d v="2025-11-13T00:00:00"/>
    <n v="1"/>
    <n v="1"/>
    <n v="100"/>
    <s v="SEM 3"/>
    <s v="Jan-2026"/>
    <x v="0"/>
    <n v="57"/>
    <x v="0"/>
    <s v="2026"/>
  </r>
  <r>
    <s v="Minerals Americas"/>
    <x v="0"/>
    <s v="BM Escondida"/>
    <s v="30129536"/>
    <s v="CML COMERCIALIZADORA E IMPORTADORA"/>
    <s v="CPT"/>
    <s v="BY AGREEMENT"/>
    <s v="30"/>
    <s v="SM5"/>
    <x v="2"/>
    <s v="#"/>
    <s v="Not assigned"/>
    <s v="4518711829"/>
    <n v="10"/>
    <s v="Standard"/>
    <s v="X"/>
    <d v="2025-10-22T00:00:00"/>
    <x v="44"/>
    <d v="2026-01-05T00:00:00"/>
    <d v="2026-01-23T00:00:00"/>
    <d v="2026-01-05T00:00:00"/>
    <n v="1"/>
    <n v="1"/>
    <n v="100"/>
    <s v="SEM 4"/>
    <s v="Jan-2026"/>
    <x v="0"/>
    <n v="18"/>
    <x v="0"/>
    <s v="2026"/>
  </r>
  <r>
    <s v="Minerals Americas"/>
    <x v="0"/>
    <s v="BM Escondida"/>
    <s v="30129536"/>
    <s v="CML COMERCIALIZADORA E IMPORTADORA"/>
    <s v="CPT"/>
    <s v="BY AGREEMENT"/>
    <s v="30"/>
    <s v="SM5"/>
    <x v="2"/>
    <s v="#"/>
    <s v="Not assigned"/>
    <s v="4519041278"/>
    <n v="1"/>
    <s v="Standard"/>
    <s v="X"/>
    <d v="2026-01-09T00:00:00"/>
    <x v="47"/>
    <d v="2026-02-02T00:00:00"/>
    <d v="2026-02-28T00:00:00"/>
    <d v="2026-02-02T00:00:00"/>
    <n v="1"/>
    <n v="1"/>
    <n v="100"/>
    <s v="SEM 15"/>
    <s v="Apr-2026"/>
    <x v="0"/>
    <n v="66"/>
    <x v="0"/>
    <s v="2026"/>
  </r>
  <r>
    <s v="Minerals Americas"/>
    <x v="0"/>
    <s v="BM Escondida"/>
    <s v="30129536"/>
    <s v="CML COMERCIALIZADORA E IMPORTADORA"/>
    <s v="CPT"/>
    <s v="BY AGREEMENT"/>
    <s v="30"/>
    <s v="SM5"/>
    <x v="2"/>
    <s v="#"/>
    <s v="Not assigned"/>
    <s v="4519185947"/>
    <n v="6"/>
    <s v="Standard"/>
    <s v="X"/>
    <d v="2026-02-12T00:00:00"/>
    <x v="48"/>
    <d v="2026-02-26T00:00:00"/>
    <d v="2026-02-26T00:00:00"/>
    <d v="2026-02-13T00:00:00"/>
    <n v="1"/>
    <n v="1"/>
    <n v="100"/>
    <s v="SEM 20"/>
    <s v="May-2026"/>
    <x v="0"/>
    <n v="76"/>
    <x v="0"/>
    <s v="2026"/>
  </r>
  <r>
    <s v="Minerals Americas"/>
    <x v="0"/>
    <s v="BM Escondida"/>
    <s v="30129536"/>
    <s v="CML COMERCIALIZADORA E IMPORTADORA"/>
    <s v="CPT"/>
    <s v="BY AGREEMENT"/>
    <s v="30"/>
    <s v="SM5"/>
    <x v="2"/>
    <s v="#"/>
    <s v="Not assigned"/>
    <s v="4519631273"/>
    <n v="2000"/>
    <s v="Standard"/>
    <s v="X"/>
    <d v="2026-05-20T00:00:00"/>
    <x v="51"/>
    <d v="2026-06-19T00:00:00"/>
    <d v="2026-06-14T00:00:00"/>
    <d v="2026-07-02T00:00:00"/>
    <n v="1"/>
    <n v="1"/>
    <n v="100"/>
    <s v="SEM 34"/>
    <s v="Aug-2026"/>
    <x v="0"/>
    <n v="60"/>
    <x v="0"/>
    <s v="2026"/>
  </r>
  <r>
    <s v="Minerals Americas"/>
    <x v="0"/>
    <s v="BM Escondida"/>
    <s v="30129536"/>
    <s v="CML COMERCIALIZADORA E IMPORTADORA"/>
    <s v="CPT"/>
    <s v="BY AGREEMENT"/>
    <s v="30"/>
    <s v="SM5"/>
    <x v="2"/>
    <s v="#"/>
    <s v="Not assigned"/>
    <s v="4519784080"/>
    <n v="2"/>
    <s v="Standard"/>
    <s v="#"/>
    <d v="2026-06-22T00:00:00"/>
    <x v="53"/>
    <s v="#"/>
    <d v="2026-07-25T00:00:00"/>
    <d v="2026-07-28T00:00:00"/>
    <n v="1"/>
    <n v="0"/>
    <n v="0"/>
    <s v="SEM 39"/>
    <s v="Sep-2026"/>
    <x v="2"/>
    <n v="33"/>
    <x v="0"/>
    <s v="2026"/>
  </r>
  <r>
    <s v="Minerals Americas"/>
    <x v="0"/>
    <s v="BM Escondida"/>
    <s v="30129536"/>
    <s v="CML COMERCIALIZADORA E IMPORTADORA"/>
    <s v="CPT"/>
    <s v="BY AGREEMENT"/>
    <s v="30"/>
    <s v="SM5"/>
    <x v="3"/>
    <s v="10375043"/>
    <s v="LAMP,120VAC,150W,WHT"/>
    <s v="4519036158"/>
    <n v="10"/>
    <s v="Standard"/>
    <s v="X"/>
    <d v="2026-01-08T00:00:00"/>
    <x v="99"/>
    <d v="2026-02-10T00:00:00"/>
    <d v="2026-02-10T00:00:00"/>
    <d v="2026-02-10T00:00:00"/>
    <n v="1"/>
    <n v="1"/>
    <n v="100"/>
    <s v="SEM 7"/>
    <s v="Feb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30"/>
    <s v="SM5"/>
    <x v="3"/>
    <s v="10381481"/>
    <s v="PAINT,FLURO,YLW,ENAM"/>
    <s v="4519282854"/>
    <n v="10"/>
    <s v="Standard"/>
    <s v="X"/>
    <d v="2026-03-07T00:00:00"/>
    <x v="152"/>
    <d v="2026-04-01T00:00:00"/>
    <d v="2026-04-04T00:00:00"/>
    <d v="2026-04-01T00:00:00"/>
    <n v="1"/>
    <n v="1"/>
    <n v="100"/>
    <s v="SEM 14"/>
    <s v="Apr-2026"/>
    <x v="0"/>
    <n v="3"/>
    <x v="0"/>
    <s v="2026"/>
  </r>
  <r>
    <s v="Minerals Americas"/>
    <x v="0"/>
    <s v="BM Escondida"/>
    <s v="30129536"/>
    <s v="CML COMERCIALIZADORA E IMPORTADORA"/>
    <s v="CPT"/>
    <s v="BY AGREEMENT"/>
    <s v="30"/>
    <s v="SM5"/>
    <x v="3"/>
    <s v="10381628"/>
    <s v="LINER,WEAR,WHT IRON,"/>
    <s v="4519996711"/>
    <n v="34"/>
    <s v="Standard"/>
    <s v="#"/>
    <d v="2026-08-04T00:00:00"/>
    <x v="1"/>
    <s v="#"/>
    <d v="2026-09-16T00:00:00"/>
    <d v="2026-08-04T00:00:00"/>
    <n v="1"/>
    <n v="0"/>
    <n v="0"/>
    <s v="SEM 38"/>
    <s v="Sep-2026"/>
    <x v="2"/>
    <n v="29"/>
    <x v="0"/>
    <s v="2026"/>
  </r>
  <r>
    <s v="Minerals Americas"/>
    <x v="0"/>
    <s v="BM Escondida"/>
    <s v="30129536"/>
    <s v="CML COMERCIALIZADORA E IMPORTADORA"/>
    <s v="CPT"/>
    <s v="BY AGREEMENT"/>
    <s v="30"/>
    <s v="SM5"/>
    <x v="3"/>
    <s v="10382937"/>
    <s v="FILTER-LUBRICATOR,AI"/>
    <s v="4518366601"/>
    <n v="8"/>
    <s v="Standard"/>
    <s v="X"/>
    <d v="2025-08-06T00:00:00"/>
    <x v="98"/>
    <d v="2025-09-11T00:00:00"/>
    <d v="2026-01-30T00:00:00"/>
    <d v="2025-09-11T00:00:00"/>
    <n v="1"/>
    <n v="1"/>
    <n v="100"/>
    <s v="SEM 5"/>
    <s v="Jan-2026"/>
    <x v="0"/>
    <n v="141"/>
    <x v="0"/>
    <s v="2026"/>
  </r>
  <r>
    <s v="Minerals Americas"/>
    <x v="0"/>
    <s v="BM Escondida"/>
    <s v="30129536"/>
    <s v="CML COMERCIALIZADORA E IMPORTADORA"/>
    <s v="CPT"/>
    <s v="BY AGREEMENT"/>
    <s v="30"/>
    <s v="SM5"/>
    <x v="3"/>
    <s v="10384098"/>
    <s v="PUTTY,EPOXY,GRY,87 S"/>
    <s v="4518455389"/>
    <n v="500"/>
    <s v="Standard"/>
    <s v="X"/>
    <d v="2025-08-26T00:00:00"/>
    <x v="182"/>
    <d v="2025-09-12T00:00:00"/>
    <d v="2026-04-20T00:00:00"/>
    <d v="2025-09-12T00:00:00"/>
    <n v="1"/>
    <n v="1"/>
    <n v="100"/>
    <s v="SEM 17"/>
    <s v="Apr-2026"/>
    <x v="0"/>
    <n v="220"/>
    <x v="0"/>
    <s v="2026"/>
  </r>
  <r>
    <s v="Minerals Americas"/>
    <x v="0"/>
    <s v="BM Escondida"/>
    <s v="30129536"/>
    <s v="CML COMERCIALIZADORA E IMPORTADORA"/>
    <s v="CPT"/>
    <s v="BY AGREEMENT"/>
    <s v="30"/>
    <s v="SM5"/>
    <x v="3"/>
    <s v="10387794"/>
    <s v="CEMENT,IRON &amp; STEEL,"/>
    <s v="4519996983"/>
    <n v="10"/>
    <s v="Standard"/>
    <s v="#"/>
    <d v="2026-08-04T00:00:00"/>
    <x v="178"/>
    <s v="#"/>
    <d v="2026-09-01T00:00:00"/>
    <d v="2026-08-04T00:00:00"/>
    <n v="1"/>
    <n v="0"/>
    <n v="0"/>
    <s v="SEM 36"/>
    <s v="Sep-2026"/>
    <x v="2"/>
    <n v="14"/>
    <x v="0"/>
    <s v="2026"/>
  </r>
  <r>
    <s v="Minerals Americas"/>
    <x v="0"/>
    <s v="BM Escondida"/>
    <s v="30129536"/>
    <s v="CML COMERCIALIZADORA E IMPORTADORA"/>
    <s v="CPT"/>
    <s v="BY AGREEMENT"/>
    <s v="30"/>
    <s v="SM5"/>
    <x v="3"/>
    <s v="10388327"/>
    <s v="TAPE,ANTISEIZING,PTF"/>
    <s v="4518997216"/>
    <n v="70"/>
    <s v="Standard"/>
    <s v="X"/>
    <d v="2025-12-30T00:00:00"/>
    <x v="33"/>
    <d v="2026-01-22T00:00:00"/>
    <d v="2026-01-22T00:00:00"/>
    <d v="2026-01-22T00:00:00"/>
    <n v="1"/>
    <n v="1"/>
    <n v="100"/>
    <s v="SEM 4"/>
    <s v="Jan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30"/>
    <s v="SM5"/>
    <x v="3"/>
    <s v="10388329"/>
    <s v="ANTISEIZE,NI BASE,TI"/>
    <s v="4519998792"/>
    <n v="45"/>
    <s v="Standard"/>
    <s v="#"/>
    <d v="2026-08-05T00:00:00"/>
    <x v="134"/>
    <s v="#"/>
    <d v="2026-09-05T00:00:00"/>
    <d v="2026-08-05T00:00:00"/>
    <n v="1"/>
    <n v="0"/>
    <n v="0"/>
    <s v="SEM 36"/>
    <s v="Sep-2026"/>
    <x v="2"/>
    <n v="18"/>
    <x v="0"/>
    <s v="2026"/>
  </r>
  <r>
    <s v="Minerals Americas"/>
    <x v="0"/>
    <s v="BM Escondida"/>
    <s v="30129536"/>
    <s v="CML COMERCIALIZADORA E IMPORTADORA"/>
    <s v="CPT"/>
    <s v="BY AGREEMENT"/>
    <s v="30"/>
    <s v="SM5"/>
    <x v="3"/>
    <s v="10388829"/>
    <s v="COUPLING,CLAMP,PIPE,"/>
    <s v="4519469786"/>
    <n v="6"/>
    <s v="Standard"/>
    <s v="X"/>
    <d v="2026-04-17T00:00:00"/>
    <x v="12"/>
    <d v="2026-05-20T00:00:00"/>
    <d v="2026-05-24T00:00:00"/>
    <d v="2026-05-20T00:00:00"/>
    <n v="1"/>
    <n v="1"/>
    <n v="100"/>
    <s v="SEM 22"/>
    <s v="May-2026"/>
    <x v="0"/>
    <n v="4"/>
    <x v="0"/>
    <s v="2026"/>
  </r>
  <r>
    <s v="Minerals Americas"/>
    <x v="0"/>
    <s v="BM Escondida"/>
    <s v="30129536"/>
    <s v="CML COMERCIALIZADORA E IMPORTADORA"/>
    <s v="CPT"/>
    <s v="BY AGREEMENT"/>
    <s v="30"/>
    <s v="SM5"/>
    <x v="3"/>
    <s v="10388834"/>
    <s v="COUPLING,CLAMP,PIPE,"/>
    <s v="4520004364"/>
    <n v="6"/>
    <s v="Standard"/>
    <s v="#"/>
    <d v="2026-08-05T00:00:00"/>
    <x v="231"/>
    <s v="#"/>
    <d v="2026-09-07T00:00:00"/>
    <d v="2026-08-05T00:00:00"/>
    <n v="1"/>
    <n v="0"/>
    <n v="0"/>
    <s v="SEM 37"/>
    <s v="Sep-2026"/>
    <x v="2"/>
    <n v="20"/>
    <x v="0"/>
    <s v="2026"/>
  </r>
  <r>
    <s v="Minerals Americas"/>
    <x v="0"/>
    <s v="BM Escondida"/>
    <s v="30129536"/>
    <s v="CML COMERCIALIZADORA E IMPORTADORA"/>
    <s v="CPT"/>
    <s v="BY AGREEMENT"/>
    <s v="30"/>
    <s v="SM5"/>
    <x v="3"/>
    <s v="10388834"/>
    <s v="COUPLING,CLAMP,PIPE,"/>
    <s v="4520017144"/>
    <n v="2"/>
    <s v="Standard"/>
    <s v="#"/>
    <d v="2026-08-08T00:00:00"/>
    <x v="166"/>
    <s v="#"/>
    <d v="2026-09-10T00:00:00"/>
    <d v="2026-08-08T00:00:00"/>
    <n v="1"/>
    <n v="0"/>
    <n v="0"/>
    <s v="SEM 37"/>
    <s v="Sep-2026"/>
    <x v="2"/>
    <n v="23"/>
    <x v="0"/>
    <s v="2026"/>
  </r>
  <r>
    <s v="Minerals Americas"/>
    <x v="0"/>
    <s v="BM Escondida"/>
    <s v="30129536"/>
    <s v="CML COMERCIALIZADORA E IMPORTADORA"/>
    <s v="CPT"/>
    <s v="BY AGREEMENT"/>
    <s v="30"/>
    <s v="SM5"/>
    <x v="3"/>
    <s v="10399545"/>
    <s v="METAL,EXPANDED,5MM T"/>
    <s v="4519942088"/>
    <n v="15"/>
    <s v="Standard"/>
    <s v="X"/>
    <d v="2026-07-23T00:00:00"/>
    <x v="129"/>
    <d v="2026-08-14T00:00:00"/>
    <d v="2026-08-15T00:00:00"/>
    <d v="2026-08-14T00:00:00"/>
    <n v="1"/>
    <n v="1"/>
    <n v="100"/>
    <s v="SEM 33"/>
    <s v="Aug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30"/>
    <s v="SM5"/>
    <x v="3"/>
    <s v="10454295"/>
    <s v="SPIGOT,24IN,CA-1,ESC"/>
    <s v="4519285829"/>
    <n v="1"/>
    <s v="Standard"/>
    <s v="X"/>
    <d v="2026-03-08T00:00:00"/>
    <x v="80"/>
    <d v="2026-05-13T00:00:00"/>
    <d v="2026-04-25T00:00:00"/>
    <d v="2026-05-13T00:00:00"/>
    <n v="1"/>
    <n v="0"/>
    <n v="0"/>
    <s v="SEM 17"/>
    <s v="Apr-2026"/>
    <x v="0"/>
    <n v="-18"/>
    <x v="1"/>
    <s v="2026"/>
  </r>
  <r>
    <s v="Minerals Americas"/>
    <x v="0"/>
    <s v="BM Escondida"/>
    <s v="30129536"/>
    <s v="CML COMERCIALIZADORA E IMPORTADORA"/>
    <s v="CPT"/>
    <s v="BY AGREEMENT"/>
    <s v="30"/>
    <s v="SM5"/>
    <x v="3"/>
    <s v="10454295"/>
    <s v="SPIGOT,24IN,CA-1,ESC"/>
    <s v="4519957012"/>
    <n v="1"/>
    <s v="Standard"/>
    <s v="#"/>
    <d v="2026-07-27T00:00:00"/>
    <x v="52"/>
    <s v="#"/>
    <d v="2026-09-13T00:00:00"/>
    <d v="2026-07-27T00:00:00"/>
    <n v="1"/>
    <n v="0"/>
    <n v="0"/>
    <s v="SEM 38"/>
    <s v="Sep-2026"/>
    <x v="2"/>
    <n v="26"/>
    <x v="0"/>
    <s v="2026"/>
  </r>
  <r>
    <s v="Minerals Americas"/>
    <x v="0"/>
    <s v="BM Escondida"/>
    <s v="30129536"/>
    <s v="CML COMERCIALIZADORA E IMPORTADORA"/>
    <s v="CPT"/>
    <s v="BY AGREEMENT"/>
    <s v="30"/>
    <s v="SM5"/>
    <x v="3"/>
    <s v="10476443"/>
    <s v="PAPER,FILT,MEMBRANE,"/>
    <s v="4519010174"/>
    <n v="2"/>
    <s v="Standard"/>
    <s v="X"/>
    <d v="2026-01-02T00:00:00"/>
    <x v="202"/>
    <d v="2026-02-02T00:00:00"/>
    <d v="2026-02-19T00:00:00"/>
    <d v="2026-02-02T00:00:00"/>
    <n v="1"/>
    <n v="1"/>
    <n v="100"/>
    <s v="SEM 8"/>
    <s v="Feb-2026"/>
    <x v="0"/>
    <n v="17"/>
    <x v="0"/>
    <s v="2026"/>
  </r>
  <r>
    <s v="Minerals Americas"/>
    <x v="0"/>
    <s v="BM Escondida"/>
    <s v="30129536"/>
    <s v="CML COMERCIALIZADORA E IMPORTADORA"/>
    <s v="CPT"/>
    <s v="BY AGREEMENT"/>
    <s v="30"/>
    <s v="SM5"/>
    <x v="3"/>
    <s v="10485393"/>
    <s v="BUSHING,SLV,370MM BO"/>
    <s v="4518455279"/>
    <n v="1"/>
    <s v="Standard"/>
    <s v="X"/>
    <d v="2025-08-26T00:00:00"/>
    <x v="95"/>
    <d v="2025-12-23T00:00:00"/>
    <d v="2026-01-19T00:00:00"/>
    <d v="2025-12-23T00:00:00"/>
    <n v="1"/>
    <n v="1"/>
    <n v="100"/>
    <s v="SEM 4"/>
    <s v="Jan-2026"/>
    <x v="0"/>
    <n v="27"/>
    <x v="0"/>
    <s v="2026"/>
  </r>
  <r>
    <s v="Minerals Americas"/>
    <x v="0"/>
    <s v="BM Escondida"/>
    <s v="30129536"/>
    <s v="CML COMERCIALIZADORA E IMPORTADORA"/>
    <s v="CPT"/>
    <s v="BY AGREEMENT"/>
    <s v="30"/>
    <s v="SM5"/>
    <x v="3"/>
    <s v="10485418"/>
    <s v="SEAL,PLAIN,RBR,35 (+"/>
    <s v="4519220792"/>
    <n v="2"/>
    <s v="Standard"/>
    <s v="X"/>
    <d v="2026-02-20T00:00:00"/>
    <x v="244"/>
    <d v="2026-06-02T00:00:00"/>
    <d v="2026-09-30T00:00:00"/>
    <d v="2026-06-02T00:00:00"/>
    <n v="1"/>
    <n v="1"/>
    <n v="100"/>
    <s v="SEM 40"/>
    <s v="Sep-2026"/>
    <x v="0"/>
    <n v="120"/>
    <x v="0"/>
    <s v="2026"/>
  </r>
  <r>
    <s v="Minerals Americas"/>
    <x v="0"/>
    <s v="BM Escondida"/>
    <s v="30129536"/>
    <s v="CML COMERCIALIZADORA E IMPORTADORA"/>
    <s v="CPT"/>
    <s v="BY AGREEMENT"/>
    <s v="30"/>
    <s v="SM5"/>
    <x v="3"/>
    <s v="10485418"/>
    <s v="SEAL,PLAIN,RBR,35 (+"/>
    <s v="4519429064"/>
    <n v="4"/>
    <s v="Standard"/>
    <s v="X"/>
    <d v="2026-04-08T00:00:00"/>
    <x v="70"/>
    <d v="2026-06-02T00:00:00"/>
    <d v="2026-06-08T00:00:00"/>
    <d v="2026-06-02T00:00:00"/>
    <n v="1"/>
    <n v="1"/>
    <n v="100"/>
    <s v="SEM 24"/>
    <s v="Jun-2026"/>
    <x v="0"/>
    <n v="6"/>
    <x v="0"/>
    <s v="2026"/>
  </r>
  <r>
    <s v="Minerals Americas"/>
    <x v="0"/>
    <s v="BM Escondida"/>
    <s v="30129536"/>
    <s v="CML COMERCIALIZADORA E IMPORTADORA"/>
    <s v="CPT"/>
    <s v="BY AGREEMENT"/>
    <s v="30"/>
    <s v="SM5"/>
    <x v="3"/>
    <s v="10833043"/>
    <s v="CABLE ASSY,ELEC,ENCO"/>
    <s v="4519298322"/>
    <n v="1"/>
    <s v="Standard"/>
    <s v="X"/>
    <d v="2026-03-10T00:00:00"/>
    <x v="207"/>
    <d v="2026-04-01T00:00:00"/>
    <d v="2026-04-12T00:00:00"/>
    <d v="2026-04-01T00:00:00"/>
    <n v="1"/>
    <n v="1"/>
    <n v="100"/>
    <s v="SEM 16"/>
    <s v="Apr-2026"/>
    <x v="0"/>
    <n v="11"/>
    <x v="0"/>
    <s v="2026"/>
  </r>
  <r>
    <s v="Minerals Americas"/>
    <x v="0"/>
    <s v="BM Escondida"/>
    <s v="30129536"/>
    <s v="CML COMERCIALIZADORA E IMPORTADORA"/>
    <s v="CPT"/>
    <s v="BY AGREEMENT"/>
    <s v="30"/>
    <s v="SM5"/>
    <x v="3"/>
    <s v="10916605"/>
    <s v="RING,BASE,740MM OD,1"/>
    <s v="4518940179"/>
    <n v="2"/>
    <s v="Standard"/>
    <s v="X"/>
    <d v="2025-12-15T00:00:00"/>
    <x v="73"/>
    <d v="2026-02-17T00:00:00"/>
    <d v="2026-08-01T00:00:00"/>
    <d v="2025-12-15T00:00:00"/>
    <n v="1"/>
    <n v="0"/>
    <n v="0"/>
    <s v="SEM 10"/>
    <s v="Mar-2026"/>
    <x v="0"/>
    <n v="18"/>
    <x v="0"/>
    <s v="2026"/>
  </r>
  <r>
    <s v="Minerals Americas"/>
    <x v="0"/>
    <s v="BM Escondida"/>
    <s v="30129536"/>
    <s v="CML COMERCIALIZADORA E IMPORTADORA"/>
    <s v="CPT"/>
    <s v="BY AGREEMENT"/>
    <s v="30"/>
    <s v="SM5"/>
    <x v="3"/>
    <s v="10925260"/>
    <s v="RUPTURE DISK,6IN DIA"/>
    <s v="4519174975"/>
    <n v="14"/>
    <s v="Standard"/>
    <s v="X"/>
    <d v="2026-02-10T00:00:00"/>
    <x v="152"/>
    <d v="2026-04-02T00:00:00"/>
    <d v="2026-02-27T00:00:00"/>
    <d v="2026-04-02T00:00:00"/>
    <n v="1"/>
    <n v="1"/>
    <n v="100"/>
    <s v="SEM 14"/>
    <s v="Apr-2026"/>
    <x v="0"/>
    <n v="2"/>
    <x v="0"/>
    <s v="2026"/>
  </r>
  <r>
    <s v="Minerals Americas"/>
    <x v="0"/>
    <s v="BM Escondida"/>
    <s v="30129536"/>
    <s v="CML COMERCIALIZADORA E IMPORTADORA"/>
    <s v="CPT"/>
    <s v="BY AGREEMENT"/>
    <s v="30"/>
    <s v="SM5"/>
    <x v="3"/>
    <s v="11136997"/>
    <s v="BASE,ANTOPART APLLC0"/>
    <s v="4519504048"/>
    <n v="4"/>
    <s v="Standard"/>
    <s v="X"/>
    <d v="2026-04-24T00:00:00"/>
    <x v="234"/>
    <d v="2026-05-06T00:00:00"/>
    <d v="2026-05-21T00:00:00"/>
    <d v="2026-05-06T00:00:00"/>
    <n v="1"/>
    <n v="1"/>
    <n v="100"/>
    <s v="SEM 21"/>
    <s v="May-2026"/>
    <x v="0"/>
    <n v="15"/>
    <x v="0"/>
    <s v="2026"/>
  </r>
  <r>
    <s v="Minerals Americas"/>
    <x v="0"/>
    <s v="BM Escondida"/>
    <s v="30129536"/>
    <s v="CML COMERCIALIZADORA E IMPORTADORA"/>
    <s v="CPT"/>
    <s v="BY AGREEMENT"/>
    <s v="30"/>
    <s v="SM5"/>
    <x v="3"/>
    <s v="11197564"/>
    <s v="REEL &amp; HOSE ASSY,LAY"/>
    <s v="4518913137"/>
    <n v="80"/>
    <s v="Standard"/>
    <s v="X"/>
    <d v="2025-12-08T00:00:00"/>
    <x v="190"/>
    <d v="2026-01-10T00:00:00"/>
    <d v="2026-01-10T00:00:00"/>
    <d v="2026-01-10T00:00:00"/>
    <n v="1"/>
    <n v="1"/>
    <n v="100"/>
    <s v="SEM 2"/>
    <s v="Jan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30"/>
    <s v="SM5"/>
    <x v="3"/>
    <s v="11197564"/>
    <s v="REEL &amp; HOSE ASSY,LAY"/>
    <s v="4520041412"/>
    <n v="22"/>
    <s v="Standard"/>
    <s v="#"/>
    <d v="2026-08-13T00:00:00"/>
    <x v="150"/>
    <s v="#"/>
    <d v="2026-09-15T00:00:00"/>
    <d v="2026-08-13T00:00:00"/>
    <n v="1"/>
    <n v="0"/>
    <n v="0"/>
    <s v="SEM 38"/>
    <s v="Sep-2026"/>
    <x v="2"/>
    <n v="28"/>
    <x v="0"/>
    <s v="2026"/>
  </r>
  <r>
    <s v="Minerals Americas"/>
    <x v="0"/>
    <s v="BM Escondida"/>
    <s v="30129536"/>
    <s v="CML COMERCIALIZADORA E IMPORTADORA"/>
    <s v="CPT"/>
    <s v="BY AGREEMENT"/>
    <s v="30"/>
    <s v="SM5"/>
    <x v="3"/>
    <s v="11197588"/>
    <s v="REEL &amp; HOSE ASSY,LAY"/>
    <s v="4518912484"/>
    <n v="6"/>
    <s v="Standard"/>
    <s v="X"/>
    <d v="2025-12-08T00:00:00"/>
    <x v="190"/>
    <d v="2026-01-05T00:00:00"/>
    <d v="2026-01-10T00:00:00"/>
    <d v="2026-01-05T00:00:00"/>
    <n v="1"/>
    <n v="1"/>
    <n v="100"/>
    <s v="SEM 2"/>
    <s v="Jan-2026"/>
    <x v="0"/>
    <n v="5"/>
    <x v="0"/>
    <s v="2026"/>
  </r>
  <r>
    <s v="Minerals Americas"/>
    <x v="0"/>
    <s v="BM Escondida"/>
    <s v="30129536"/>
    <s v="CML COMERCIALIZADORA E IMPORTADORA"/>
    <s v="CPT"/>
    <s v="BY AGREEMENT"/>
    <s v="30"/>
    <s v="SM5"/>
    <x v="3"/>
    <s v="11244770"/>
    <s v="TIMBER,SOFTWOOD,DRAW"/>
    <s v="4519574503"/>
    <n v="109"/>
    <s v="Standard"/>
    <s v="X"/>
    <d v="2026-05-10T00:00:00"/>
    <x v="252"/>
    <d v="2026-06-05T00:00:00"/>
    <d v="2026-06-11T00:00:00"/>
    <d v="2026-06-05T00:00:00"/>
    <n v="1"/>
    <n v="1"/>
    <n v="100"/>
    <s v="SEM 24"/>
    <s v="Jun-2026"/>
    <x v="0"/>
    <n v="6"/>
    <x v="0"/>
    <s v="2026"/>
  </r>
  <r>
    <s v="Minerals Americas"/>
    <x v="0"/>
    <s v="BM Escondida"/>
    <s v="30129536"/>
    <s v="CML COMERCIALIZADORA E IMPORTADORA"/>
    <s v="CPT"/>
    <s v="BY AGREEMENT"/>
    <s v="30"/>
    <s v="SM5"/>
    <x v="3"/>
    <s v="11370963"/>
    <s v="GASKET,20IN,3MM THK,"/>
    <s v="4519642262"/>
    <n v="3"/>
    <s v="Standard"/>
    <s v="X"/>
    <d v="2026-05-22T00:00:00"/>
    <x v="154"/>
    <d v="2026-06-12T00:00:00"/>
    <d v="2026-06-19T00:00:00"/>
    <d v="2026-06-12T00:00:00"/>
    <n v="1"/>
    <n v="1"/>
    <n v="100"/>
    <s v="SEM 25"/>
    <s v="Jun-2026"/>
    <x v="0"/>
    <n v="7"/>
    <x v="0"/>
    <s v="2026"/>
  </r>
  <r>
    <s v="Minerals Americas"/>
    <x v="0"/>
    <s v="BM Escondida"/>
    <s v="30129536"/>
    <s v="CML COMERCIALIZADORA E IMPORTADORA"/>
    <s v="CPT"/>
    <s v="BY AGREEMENT"/>
    <s v="30"/>
    <s v="SM5"/>
    <x v="3"/>
    <s v="11440328"/>
    <s v="SILICONE COMPOUND,HI"/>
    <s v="4518742101"/>
    <n v="6"/>
    <s v="Standard"/>
    <s v="X"/>
    <d v="2025-10-29T00:00:00"/>
    <x v="92"/>
    <d v="2026-03-02T00:00:00"/>
    <d v="2026-03-16T00:00:00"/>
    <d v="2026-03-02T00:00:00"/>
    <n v="1"/>
    <n v="1"/>
    <n v="100"/>
    <s v="SEM 12"/>
    <s v="Mar-2026"/>
    <x v="0"/>
    <n v="16"/>
    <x v="0"/>
    <s v="2026"/>
  </r>
  <r>
    <s v="Minerals Americas"/>
    <x v="0"/>
    <s v="BM Escondida"/>
    <s v="30129536"/>
    <s v="CML COMERCIALIZADORA E IMPORTADORA"/>
    <s v="CPT"/>
    <s v="BY AGREEMENT"/>
    <s v="30"/>
    <s v="SM5"/>
    <x v="3"/>
    <s v="11440328"/>
    <s v="SILICONE COMPOUND,HI"/>
    <s v="4519129416"/>
    <n v="4"/>
    <s v="Standard"/>
    <s v="X"/>
    <d v="2026-01-31T00:00:00"/>
    <x v="68"/>
    <d v="2026-06-01T00:00:00"/>
    <d v="2026-06-23T00:00:00"/>
    <d v="2026-06-01T00:00:00"/>
    <n v="1"/>
    <n v="1"/>
    <n v="100"/>
    <s v="SEM 26"/>
    <s v="Jun-2026"/>
    <x v="0"/>
    <n v="22"/>
    <x v="0"/>
    <s v="2026"/>
  </r>
  <r>
    <s v="Minerals Americas"/>
    <x v="0"/>
    <s v="BM Escondida"/>
    <s v="30129536"/>
    <s v="CML COMERCIALIZADORA E IMPORTADORA"/>
    <s v="CPT"/>
    <s v="BY AGREEMENT"/>
    <s v="30"/>
    <s v="SM5"/>
    <x v="4"/>
    <s v="10399815"/>
    <s v="TERMINAL BLOCK,PHOEN"/>
    <s v="4519250665"/>
    <n v="302"/>
    <s v="Standard"/>
    <s v="X"/>
    <d v="2026-02-27T00:00:00"/>
    <x v="62"/>
    <d v="2026-05-19T00:00:00"/>
    <d v="2026-05-19T00:00:00"/>
    <d v="2026-05-19T00:00:00"/>
    <n v="1"/>
    <n v="1"/>
    <n v="100"/>
    <s v="SEM 21"/>
    <s v="May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40"/>
    <s v="SM5"/>
    <x v="1"/>
    <s v="11438709"/>
    <s v="KEY,LOCK,PADDLE,LOCK"/>
    <s v="4519652735"/>
    <n v="1"/>
    <s v="Standard"/>
    <s v="X"/>
    <d v="2026-05-25T00:00:00"/>
    <x v="19"/>
    <d v="2026-07-01T00:00:00"/>
    <d v="2026-07-15T00:00:00"/>
    <d v="2026-07-01T00:00:00"/>
    <n v="1"/>
    <n v="1"/>
    <n v="100"/>
    <s v="SEM 29"/>
    <s v="Jul-2026"/>
    <x v="0"/>
    <n v="14"/>
    <x v="0"/>
    <s v="2026"/>
  </r>
  <r>
    <s v="Minerals Americas"/>
    <x v="0"/>
    <s v="BM Escondida"/>
    <s v="30129536"/>
    <s v="CML COMERCIALIZADORA E IMPORTADORA"/>
    <s v="CPT"/>
    <s v="BY AGREEMENT"/>
    <s v="40"/>
    <s v="SM5"/>
    <x v="2"/>
    <s v="#"/>
    <s v="Not assigned"/>
    <s v="4518684442"/>
    <n v="100"/>
    <s v="Standard"/>
    <s v="X"/>
    <d v="2025-10-16T00:00:00"/>
    <x v="43"/>
    <d v="2025-11-04T00:00:00"/>
    <d v="2025-11-03T00:00:00"/>
    <d v="2025-11-04T00:00:00"/>
    <n v="1"/>
    <n v="1"/>
    <n v="100"/>
    <s v="SEM 3"/>
    <s v="Jan-2026"/>
    <x v="0"/>
    <n v="71"/>
    <x v="0"/>
    <s v="2026"/>
  </r>
  <r>
    <s v="Minerals Americas"/>
    <x v="0"/>
    <s v="BM Escondida"/>
    <s v="30129536"/>
    <s v="CML COMERCIALIZADORA E IMPORTADORA"/>
    <s v="CPT"/>
    <s v="BY AGREEMENT"/>
    <s v="40"/>
    <s v="SM5"/>
    <x v="2"/>
    <s v="#"/>
    <s v="Not assigned"/>
    <s v="4519041278"/>
    <n v="1"/>
    <s v="Standard"/>
    <s v="X"/>
    <d v="2026-01-09T00:00:00"/>
    <x v="47"/>
    <d v="2026-02-03T00:00:00"/>
    <d v="2026-02-28T00:00:00"/>
    <d v="2026-02-03T00:00:00"/>
    <n v="1"/>
    <n v="1"/>
    <n v="100"/>
    <s v="SEM 15"/>
    <s v="Apr-2026"/>
    <x v="0"/>
    <n v="65"/>
    <x v="0"/>
    <s v="2026"/>
  </r>
  <r>
    <s v="Minerals Americas"/>
    <x v="0"/>
    <s v="BM Escondida"/>
    <s v="30129536"/>
    <s v="CML COMERCIALIZADORA E IMPORTADORA"/>
    <s v="CPT"/>
    <s v="BY AGREEMENT"/>
    <s v="40"/>
    <s v="SM5"/>
    <x v="2"/>
    <s v="#"/>
    <s v="Not assigned"/>
    <s v="4519185947"/>
    <n v="1"/>
    <s v="Standard"/>
    <s v="X"/>
    <d v="2026-02-12T00:00:00"/>
    <x v="48"/>
    <d v="2026-02-26T00:00:00"/>
    <d v="2026-02-26T00:00:00"/>
    <d v="2026-02-26T00:00:00"/>
    <n v="1"/>
    <n v="1"/>
    <n v="100"/>
    <s v="SEM 20"/>
    <s v="May-2026"/>
    <x v="0"/>
    <n v="76"/>
    <x v="0"/>
    <s v="2026"/>
  </r>
  <r>
    <s v="Minerals Americas"/>
    <x v="0"/>
    <s v="BM Escondida"/>
    <s v="30129536"/>
    <s v="CML COMERCIALIZADORA E IMPORTADORA"/>
    <s v="CPT"/>
    <s v="BY AGREEMENT"/>
    <s v="40"/>
    <s v="SM5"/>
    <x v="2"/>
    <s v="#"/>
    <s v="Not assigned"/>
    <s v="4519631273"/>
    <n v="200"/>
    <s v="Standard"/>
    <s v="X"/>
    <d v="2026-05-20T00:00:00"/>
    <x v="51"/>
    <d v="2026-06-09T00:00:00"/>
    <d v="2026-07-19T00:00:00"/>
    <d v="2026-06-10T00:00:00"/>
    <n v="1"/>
    <n v="1"/>
    <n v="100"/>
    <s v="SEM 34"/>
    <s v="Aug-2026"/>
    <x v="0"/>
    <n v="70"/>
    <x v="0"/>
    <s v="2026"/>
  </r>
  <r>
    <s v="Minerals Americas"/>
    <x v="0"/>
    <s v="BM Escondida"/>
    <s v="30129536"/>
    <s v="CML COMERCIALIZADORA E IMPORTADORA"/>
    <s v="CPT"/>
    <s v="BY AGREEMENT"/>
    <s v="40"/>
    <s v="SM5"/>
    <x v="2"/>
    <s v="#"/>
    <s v="Not assigned"/>
    <s v="4519784080"/>
    <n v="2"/>
    <s v="Standard"/>
    <s v="X"/>
    <d v="2026-06-22T00:00:00"/>
    <x v="53"/>
    <d v="2026-07-13T00:00:00"/>
    <d v="2026-07-25T00:00:00"/>
    <d v="2026-07-13T00:00:00"/>
    <n v="1"/>
    <n v="1"/>
    <n v="100"/>
    <s v="SEM 39"/>
    <s v="Sep-2026"/>
    <x v="0"/>
    <n v="69"/>
    <x v="0"/>
    <s v="2026"/>
  </r>
  <r>
    <s v="Minerals Americas"/>
    <x v="0"/>
    <s v="BM Escondida"/>
    <s v="30129536"/>
    <s v="CML COMERCIALIZADORA E IMPORTADORA"/>
    <s v="CPT"/>
    <s v="BY AGREEMENT"/>
    <s v="40"/>
    <s v="SM5"/>
    <x v="3"/>
    <s v="10388834"/>
    <s v="COUPLING,CLAMP,PIPE,"/>
    <s v="4519942088"/>
    <n v="2"/>
    <s v="Standard"/>
    <s v="X"/>
    <d v="2026-07-23T00:00:00"/>
    <x v="105"/>
    <d v="2026-08-12T00:00:00"/>
    <d v="2026-08-25T00:00:00"/>
    <d v="2026-08-12T00:00:00"/>
    <n v="1"/>
    <n v="1"/>
    <n v="100"/>
    <s v="SEM 35"/>
    <s v="Aug-2026"/>
    <x v="0"/>
    <n v="13"/>
    <x v="0"/>
    <s v="2026"/>
  </r>
  <r>
    <s v="Minerals Americas"/>
    <x v="0"/>
    <s v="BM Escondida"/>
    <s v="30129536"/>
    <s v="CML COMERCIALIZADORA E IMPORTADORA"/>
    <s v="CPT"/>
    <s v="BY AGREEMENT"/>
    <s v="40"/>
    <s v="SM5"/>
    <x v="3"/>
    <s v="10389424"/>
    <s v="BELT,V,5VX SECT,63IN"/>
    <s v="4518912484"/>
    <n v="8"/>
    <s v="Standard"/>
    <s v="X"/>
    <d v="2025-12-08T00:00:00"/>
    <x v="26"/>
    <d v="2026-01-05T00:00:00"/>
    <d v="2026-01-05T00:00:00"/>
    <d v="2026-01-05T00:00:00"/>
    <n v="1"/>
    <n v="1"/>
    <n v="100"/>
    <s v="SEM 2"/>
    <s v="Jan-2026"/>
    <x v="0"/>
    <n v="0"/>
    <x v="0"/>
    <s v="2026"/>
  </r>
  <r>
    <s v="Minerals Americas"/>
    <x v="0"/>
    <s v="BM Escondida"/>
    <s v="30129536"/>
    <s v="CML COMERCIALIZADORA E IMPORTADORA"/>
    <s v="CPT"/>
    <s v="BY AGREEMENT"/>
    <s v="40"/>
    <s v="SM5"/>
    <x v="3"/>
    <s v="10472482"/>
    <s v="COATING COMPOUND,WEA"/>
    <s v="4518304338"/>
    <n v="120"/>
    <s v="Standard"/>
    <s v="X"/>
    <d v="2025-07-24T00:00:00"/>
    <x v="115"/>
    <d v="2026-05-06T00:00:00"/>
    <d v="2026-05-10T00:00:00"/>
    <d v="2026-05-06T00:00:00"/>
    <n v="1"/>
    <n v="1"/>
    <n v="100"/>
    <s v="SEM 20"/>
    <s v="May-2026"/>
    <x v="0"/>
    <n v="4"/>
    <x v="0"/>
    <s v="2026"/>
  </r>
  <r>
    <s v="Minerals Americas"/>
    <x v="0"/>
    <s v="BM Escondida"/>
    <s v="30129536"/>
    <s v="CML COMERCIALIZADORA E IMPORTADORA"/>
    <s v="CPT"/>
    <s v="BY AGREEMENT"/>
    <s v="40"/>
    <s v="SM5"/>
    <x v="3"/>
    <s v="10485418"/>
    <s v="SEAL,PLAIN,RBR,35 (+"/>
    <s v="4519220792"/>
    <n v="2"/>
    <s v="Standard"/>
    <s v="X"/>
    <d v="2026-02-20T00:00:00"/>
    <x v="55"/>
    <d v="2026-06-02T00:00:00"/>
    <d v="2026-10-14T00:00:00"/>
    <d v="2026-06-02T00:00:00"/>
    <n v="1"/>
    <n v="1"/>
    <n v="100"/>
    <s v="SEM 42"/>
    <s v="Oct-2026"/>
    <x v="0"/>
    <n v="134"/>
    <x v="0"/>
    <s v="2026"/>
  </r>
  <r>
    <s v="Minerals Americas"/>
    <x v="0"/>
    <s v="BM Escondida"/>
    <s v="30129536"/>
    <s v="CML COMERCIALIZADORA E IMPORTADORA"/>
    <s v="CPT"/>
    <s v="BY AGREEMENT"/>
    <s v="40"/>
    <s v="SM5"/>
    <x v="3"/>
    <s v="11166737"/>
    <s v="ARM,TORQUE,ARTICULAT"/>
    <s v="4519469786"/>
    <n v="4"/>
    <s v="Standard"/>
    <s v="X"/>
    <d v="2026-04-17T00:00:00"/>
    <x v="114"/>
    <d v="2026-05-06T00:00:00"/>
    <d v="2026-04-24T00:00:00"/>
    <d v="2026-05-06T00:00:00"/>
    <n v="1"/>
    <n v="1"/>
    <n v="100"/>
    <s v="SEM 19"/>
    <s v="May-2026"/>
    <x v="0"/>
    <n v="1"/>
    <x v="0"/>
    <s v="2026"/>
  </r>
  <r>
    <s v="Minerals Americas"/>
    <x v="0"/>
    <s v="BM Escondida"/>
    <s v="30129536"/>
    <s v="CML COMERCIALIZADORA E IMPORTADORA"/>
    <s v="CPT"/>
    <s v="BY AGREEMENT"/>
    <s v="40"/>
    <s v="SM5"/>
    <x v="3"/>
    <s v="11197588"/>
    <s v="REEL &amp; HOSE ASSY,LAY"/>
    <s v="4520041412"/>
    <n v="42"/>
    <s v="Standard"/>
    <s v="#"/>
    <d v="2026-08-13T00:00:00"/>
    <x v="150"/>
    <s v="#"/>
    <d v="2026-09-15T00:00:00"/>
    <d v="2026-08-13T00:00:00"/>
    <n v="1"/>
    <n v="0"/>
    <n v="0"/>
    <s v="SEM 38"/>
    <s v="Sep-2026"/>
    <x v="2"/>
    <n v="28"/>
    <x v="0"/>
    <s v="2026"/>
  </r>
  <r>
    <s v="Minerals Americas"/>
    <x v="0"/>
    <s v="BM Escondida"/>
    <s v="30129536"/>
    <s v="CML COMERCIALIZADORA E IMPORTADORA"/>
    <s v="CPT"/>
    <s v="BY AGREEMENT"/>
    <s v="50"/>
    <s v="SM5"/>
    <x v="2"/>
    <s v="#"/>
    <s v="Not assigned"/>
    <s v="4518684442"/>
    <n v="300"/>
    <s v="Standard"/>
    <s v="X"/>
    <d v="2025-10-16T00:00:00"/>
    <x v="43"/>
    <d v="2025-11-13T00:00:00"/>
    <d v="2025-11-03T00:00:00"/>
    <d v="2025-11-14T00:00:00"/>
    <n v="1"/>
    <n v="1"/>
    <n v="100"/>
    <s v="SEM 3"/>
    <s v="Jan-2026"/>
    <x v="0"/>
    <n v="62"/>
    <x v="0"/>
    <s v="2026"/>
  </r>
  <r>
    <s v="Minerals Americas"/>
    <x v="0"/>
    <s v="BM Escondida"/>
    <s v="30129536"/>
    <s v="CML COMERCIALIZADORA E IMPORTADORA"/>
    <s v="CPT"/>
    <s v="BY AGREEMENT"/>
    <s v="50"/>
    <s v="SM5"/>
    <x v="2"/>
    <s v="#"/>
    <s v="Not assigned"/>
    <s v="4519041278"/>
    <n v="2"/>
    <s v="Standard"/>
    <s v="X"/>
    <d v="2026-01-09T00:00:00"/>
    <x v="47"/>
    <d v="2026-02-03T00:00:00"/>
    <d v="2026-02-28T00:00:00"/>
    <d v="2026-02-03T00:00:00"/>
    <n v="1"/>
    <n v="1"/>
    <n v="100"/>
    <s v="SEM 15"/>
    <s v="Apr-2026"/>
    <x v="0"/>
    <n v="65"/>
    <x v="0"/>
    <s v="2026"/>
  </r>
  <r>
    <s v="Minerals Americas"/>
    <x v="0"/>
    <s v="BM Escondida"/>
    <s v="30129536"/>
    <s v="CML COMERCIALIZADORA E IMPORTADORA"/>
    <s v="CPT"/>
    <s v="BY AGREEMENT"/>
    <s v="50"/>
    <s v="SM5"/>
    <x v="2"/>
    <s v="#"/>
    <s v="Not assigned"/>
    <s v="4519185947"/>
    <n v="400"/>
    <s v="Standard"/>
    <s v="X"/>
    <d v="2026-02-12T00:00:00"/>
    <x v="48"/>
    <d v="2026-02-24T00:00:00"/>
    <d v="2026-02-26T00:00:00"/>
    <d v="2026-02-24T00:00:00"/>
    <n v="1"/>
    <n v="1"/>
    <n v="100"/>
    <s v="SEM 20"/>
    <s v="May-2026"/>
    <x v="0"/>
    <n v="78"/>
    <x v="0"/>
    <s v="2026"/>
  </r>
  <r>
    <s v="Minerals Americas"/>
    <x v="0"/>
    <s v="BM Escondida"/>
    <s v="30129536"/>
    <s v="CML COMERCIALIZADORA E IMPORTADORA"/>
    <s v="CPT"/>
    <s v="BY AGREEMENT"/>
    <s v="50"/>
    <s v="SM5"/>
    <x v="2"/>
    <s v="#"/>
    <s v="Not assigned"/>
    <s v="4519631273"/>
    <n v="20"/>
    <s v="Standard"/>
    <s v="X"/>
    <d v="2026-05-20T00:00:00"/>
    <x v="51"/>
    <d v="2026-06-05T00:00:00"/>
    <d v="2026-06-09T00:00:00"/>
    <d v="2026-06-05T00:00:00"/>
    <n v="1"/>
    <n v="1"/>
    <n v="100"/>
    <s v="SEM 34"/>
    <s v="Aug-2026"/>
    <x v="0"/>
    <n v="74"/>
    <x v="0"/>
    <s v="2026"/>
  </r>
  <r>
    <s v="Minerals Americas"/>
    <x v="0"/>
    <s v="BM Escondida"/>
    <s v="30129536"/>
    <s v="CML COMERCIALIZADORA E IMPORTADORA"/>
    <s v="CPT"/>
    <s v="BY AGREEMENT"/>
    <s v="50"/>
    <s v="SM5"/>
    <x v="2"/>
    <s v="#"/>
    <s v="Not assigned"/>
    <s v="4519784080"/>
    <n v="8"/>
    <s v="Standard"/>
    <s v="X"/>
    <d v="2026-06-22T00:00:00"/>
    <x v="53"/>
    <d v="2026-07-13T00:00:00"/>
    <d v="2026-07-25T00:00:00"/>
    <d v="2026-07-13T00:00:00"/>
    <n v="1"/>
    <n v="1"/>
    <n v="100"/>
    <s v="SEM 39"/>
    <s v="Sep-2026"/>
    <x v="0"/>
    <n v="69"/>
    <x v="0"/>
    <s v="2026"/>
  </r>
  <r>
    <s v="Minerals Americas"/>
    <x v="0"/>
    <s v="BM Escondida"/>
    <s v="30129536"/>
    <s v="CML COMERCIALIZADORA E IMPORTADORA"/>
    <s v="CPT"/>
    <s v="BY AGREEMENT"/>
    <s v="50"/>
    <s v="SM5"/>
    <x v="3"/>
    <s v="11244770"/>
    <s v="TIMBER,SOFTWOOD,DRAW"/>
    <s v="4519469786"/>
    <n v="162"/>
    <s v="Standard"/>
    <s v="X"/>
    <d v="2026-04-17T00:00:00"/>
    <x v="62"/>
    <d v="2026-05-08T00:00:00"/>
    <d v="2026-05-19T00:00:00"/>
    <d v="2026-05-08T00:00:00"/>
    <n v="1"/>
    <n v="1"/>
    <n v="100"/>
    <s v="SEM 21"/>
    <s v="May-2026"/>
    <x v="0"/>
    <n v="11"/>
    <x v="0"/>
    <s v="2026"/>
  </r>
  <r>
    <s v="Minerals Americas"/>
    <x v="0"/>
    <s v="BM Escondida"/>
    <s v="30129536"/>
    <s v="CML COMERCIALIZADORA E IMPORTADORA"/>
    <s v="CPT"/>
    <s v="BY AGREEMENT"/>
    <s v="60"/>
    <s v="SM5"/>
    <x v="2"/>
    <s v="#"/>
    <s v="Not assigned"/>
    <s v="4518684442"/>
    <n v="25"/>
    <s v="Standard"/>
    <s v="X"/>
    <d v="2025-10-16T00:00:00"/>
    <x v="43"/>
    <d v="2025-11-11T00:00:00"/>
    <d v="2025-11-03T00:00:00"/>
    <d v="2025-10-16T00:00:00"/>
    <n v="1"/>
    <n v="1"/>
    <n v="100"/>
    <s v="SEM 3"/>
    <s v="Jan-2026"/>
    <x v="0"/>
    <n v="64"/>
    <x v="0"/>
    <s v="2026"/>
  </r>
  <r>
    <s v="Minerals Americas"/>
    <x v="0"/>
    <s v="BM Escondida"/>
    <s v="30129536"/>
    <s v="CML COMERCIALIZADORA E IMPORTADORA"/>
    <s v="CPT"/>
    <s v="BY AGREEMENT"/>
    <s v="60"/>
    <s v="SM5"/>
    <x v="2"/>
    <s v="#"/>
    <s v="Not assigned"/>
    <s v="4519041278"/>
    <n v="2"/>
    <s v="Standard"/>
    <s v="X"/>
    <d v="2026-01-09T00:00:00"/>
    <x v="47"/>
    <d v="2026-02-03T00:00:00"/>
    <d v="2026-02-28T00:00:00"/>
    <d v="2026-02-03T00:00:00"/>
    <n v="1"/>
    <n v="1"/>
    <n v="100"/>
    <s v="SEM 15"/>
    <s v="Apr-2026"/>
    <x v="0"/>
    <n v="65"/>
    <x v="0"/>
    <s v="2026"/>
  </r>
  <r>
    <s v="Minerals Americas"/>
    <x v="0"/>
    <s v="BM Escondida"/>
    <s v="30129536"/>
    <s v="CML COMERCIALIZADORA E IMPORTADORA"/>
    <s v="CPT"/>
    <s v="BY AGREEMENT"/>
    <s v="60"/>
    <s v="SM5"/>
    <x v="2"/>
    <s v="#"/>
    <s v="Not assigned"/>
    <s v="4519185947"/>
    <n v="0"/>
    <s v="Standard"/>
    <s v="X"/>
    <d v="2026-02-12T00:00:00"/>
    <x v="48"/>
    <d v="2026-03-18T00:00:00"/>
    <d v="2026-02-26T00:00:00"/>
    <d v="2026-03-18T00:00:00"/>
    <n v="0"/>
    <n v="0"/>
    <s v="#DIV/0"/>
    <s v="SEM 20"/>
    <s v="May-2026"/>
    <x v="0"/>
    <n v="56"/>
    <x v="0"/>
    <s v="2026"/>
  </r>
  <r>
    <s v="Minerals Americas"/>
    <x v="0"/>
    <s v="BM Escondida"/>
    <s v="30129536"/>
    <s v="CML COMERCIALIZADORA E IMPORTADORA"/>
    <s v="CPT"/>
    <s v="BY AGREEMENT"/>
    <s v="60"/>
    <s v="SM5"/>
    <x v="2"/>
    <s v="#"/>
    <s v="Not assigned"/>
    <s v="4519185947"/>
    <n v="400"/>
    <s v="Standard"/>
    <s v="X"/>
    <d v="2026-02-12T00:00:00"/>
    <x v="48"/>
    <d v="2026-04-21T00:00:00"/>
    <d v="2026-02-26T00:00:00"/>
    <d v="2026-03-18T00:00:00"/>
    <n v="1"/>
    <n v="1"/>
    <n v="100"/>
    <s v="SEM 20"/>
    <s v="May-2026"/>
    <x v="0"/>
    <n v="22"/>
    <x v="0"/>
    <s v="2026"/>
  </r>
  <r>
    <s v="Minerals Americas"/>
    <x v="0"/>
    <s v="BM Escondida"/>
    <s v="30129536"/>
    <s v="CML COMERCIALIZADORA E IMPORTADORA"/>
    <s v="CPT"/>
    <s v="BY AGREEMENT"/>
    <s v="60"/>
    <s v="SM5"/>
    <x v="2"/>
    <s v="#"/>
    <s v="Not assigned"/>
    <s v="4519631273"/>
    <n v="1000"/>
    <s v="Standard"/>
    <s v="X"/>
    <d v="2026-05-20T00:00:00"/>
    <x v="51"/>
    <d v="2026-06-08T00:00:00"/>
    <d v="2026-06-09T00:00:00"/>
    <d v="2026-06-08T00:00:00"/>
    <n v="1"/>
    <n v="1"/>
    <n v="100"/>
    <s v="SEM 34"/>
    <s v="Aug-2026"/>
    <x v="0"/>
    <n v="71"/>
    <x v="0"/>
    <s v="2026"/>
  </r>
  <r>
    <s v="Minerals Americas"/>
    <x v="0"/>
    <s v="BM Escondida"/>
    <s v="30129536"/>
    <s v="CML COMERCIALIZADORA E IMPORTADORA"/>
    <s v="CPT"/>
    <s v="BY AGREEMENT"/>
    <s v="60"/>
    <s v="SM5"/>
    <x v="2"/>
    <s v="#"/>
    <s v="Not assigned"/>
    <s v="4519784080"/>
    <n v="8"/>
    <s v="Standard"/>
    <s v="X"/>
    <d v="2026-06-22T00:00:00"/>
    <x v="53"/>
    <d v="2026-07-13T00:00:00"/>
    <d v="2026-07-25T00:00:00"/>
    <d v="2026-07-13T00:00:00"/>
    <n v="1"/>
    <n v="1"/>
    <n v="100"/>
    <s v="SEM 39"/>
    <s v="Sep-2026"/>
    <x v="0"/>
    <n v="69"/>
    <x v="0"/>
    <s v="2026"/>
  </r>
  <r>
    <s v="Minerals Americas"/>
    <x v="0"/>
    <s v="BM Escondida"/>
    <s v="30129536"/>
    <s v="CML COMERCIALIZADORA E IMPORTADORA"/>
    <s v="CPT"/>
    <s v="BY AGREEMENT"/>
    <s v="60"/>
    <s v="SM5"/>
    <x v="3"/>
    <s v="10379963"/>
    <s v="PLUMB BOB,LEAD,70MM"/>
    <s v="4519469786"/>
    <n v="150"/>
    <s v="Standard"/>
    <s v="X"/>
    <d v="2026-04-17T00:00:00"/>
    <x v="62"/>
    <d v="2026-05-11T00:00:00"/>
    <d v="2026-05-19T00:00:00"/>
    <d v="2026-05-11T00:00:00"/>
    <n v="1"/>
    <n v="1"/>
    <n v="100"/>
    <s v="SEM 21"/>
    <s v="May-2026"/>
    <x v="0"/>
    <n v="8"/>
    <x v="0"/>
    <s v="2026"/>
  </r>
  <r>
    <s v="Minerals Americas"/>
    <x v="0"/>
    <s v="BM Escondida"/>
    <s v="30129536"/>
    <s v="CML COMERCIALIZADORA E IMPORTADORA"/>
    <s v="CPT"/>
    <s v="BY AGREEMENT"/>
    <s v="70"/>
    <s v="SM5"/>
    <x v="2"/>
    <s v="#"/>
    <s v="Not assigned"/>
    <s v="4518684442"/>
    <n v="1000"/>
    <s v="Standard"/>
    <s v="X"/>
    <d v="2025-10-16T00:00:00"/>
    <x v="43"/>
    <d v="2025-11-04T00:00:00"/>
    <d v="2025-11-03T00:00:00"/>
    <d v="2025-10-16T00:00:00"/>
    <n v="1"/>
    <n v="0"/>
    <n v="0"/>
    <s v="SEM 3"/>
    <s v="Jan-2026"/>
    <x v="0"/>
    <n v="71"/>
    <x v="0"/>
    <s v="2026"/>
  </r>
  <r>
    <s v="Minerals Americas"/>
    <x v="0"/>
    <s v="BM Escondida"/>
    <s v="30129536"/>
    <s v="CML COMERCIALIZADORA E IMPORTADORA"/>
    <s v="CPT"/>
    <s v="BY AGREEMENT"/>
    <s v="70"/>
    <s v="SM5"/>
    <x v="2"/>
    <s v="#"/>
    <s v="Not assigned"/>
    <s v="4519041278"/>
    <n v="1"/>
    <s v="Standard"/>
    <s v="X"/>
    <d v="2026-01-09T00:00:00"/>
    <x v="47"/>
    <d v="2026-02-02T00:00:00"/>
    <d v="2026-02-28T00:00:00"/>
    <d v="2026-02-02T00:00:00"/>
    <n v="1"/>
    <n v="1"/>
    <n v="100"/>
    <s v="SEM 15"/>
    <s v="Apr-2026"/>
    <x v="0"/>
    <n v="66"/>
    <x v="0"/>
    <s v="2026"/>
  </r>
  <r>
    <s v="Minerals Americas"/>
    <x v="0"/>
    <s v="BM Escondida"/>
    <s v="30129536"/>
    <s v="CML COMERCIALIZADORA E IMPORTADORA"/>
    <s v="CPT"/>
    <s v="BY AGREEMENT"/>
    <s v="70"/>
    <s v="SM5"/>
    <x v="2"/>
    <s v="#"/>
    <s v="Not assigned"/>
    <s v="4519185947"/>
    <n v="100"/>
    <s v="Standard"/>
    <s v="X"/>
    <d v="2026-02-12T00:00:00"/>
    <x v="48"/>
    <d v="2026-03-12T00:00:00"/>
    <d v="2026-02-26T00:00:00"/>
    <d v="2026-03-06T00:00:00"/>
    <n v="1"/>
    <n v="1"/>
    <n v="100"/>
    <s v="SEM 20"/>
    <s v="May-2026"/>
    <x v="0"/>
    <n v="62"/>
    <x v="0"/>
    <s v="2026"/>
  </r>
  <r>
    <s v="Minerals Americas"/>
    <x v="0"/>
    <s v="BM Escondida"/>
    <s v="30129536"/>
    <s v="CML COMERCIALIZADORA E IMPORTADORA"/>
    <s v="CPT"/>
    <s v="BY AGREEMENT"/>
    <s v="70"/>
    <s v="SM5"/>
    <x v="2"/>
    <s v="#"/>
    <s v="Not assigned"/>
    <s v="4519631273"/>
    <n v="1000"/>
    <s v="Standard"/>
    <s v="X"/>
    <d v="2026-05-20T00:00:00"/>
    <x v="51"/>
    <d v="2026-06-08T00:00:00"/>
    <d v="2026-06-08T00:00:00"/>
    <d v="2026-06-08T00:00:00"/>
    <n v="1"/>
    <n v="1"/>
    <n v="100"/>
    <s v="SEM 34"/>
    <s v="Aug-2026"/>
    <x v="0"/>
    <n v="71"/>
    <x v="0"/>
    <s v="2026"/>
  </r>
  <r>
    <s v="Minerals Americas"/>
    <x v="0"/>
    <s v="BM Escondida"/>
    <s v="30129536"/>
    <s v="CML COMERCIALIZADORA E IMPORTADORA"/>
    <s v="CPT"/>
    <s v="BY AGREEMENT"/>
    <s v="70"/>
    <s v="SM5"/>
    <x v="2"/>
    <s v="#"/>
    <s v="Not assigned"/>
    <s v="4519784080"/>
    <n v="9"/>
    <s v="Standard"/>
    <s v="#"/>
    <d v="2026-06-22T00:00:00"/>
    <x v="53"/>
    <s v="#"/>
    <d v="2026-07-25T00:00:00"/>
    <d v="2026-07-28T00:00:00"/>
    <n v="1"/>
    <n v="0"/>
    <n v="0"/>
    <s v="SEM 39"/>
    <s v="Sep-2026"/>
    <x v="2"/>
    <n v="33"/>
    <x v="0"/>
    <s v="2026"/>
  </r>
  <r>
    <s v="Minerals Americas"/>
    <x v="0"/>
    <s v="BM Escondida"/>
    <s v="30129536"/>
    <s v="CML COMERCIALIZADORA E IMPORTADORA"/>
    <s v="CPT"/>
    <s v="BY AGREEMENT"/>
    <s v="70"/>
    <s v="SM5"/>
    <x v="3"/>
    <s v="10388833"/>
    <s v="COUPLING,CLAMP,PIPE,"/>
    <s v="4519469786"/>
    <n v="4"/>
    <s v="Standard"/>
    <s v="X"/>
    <d v="2026-04-17T00:00:00"/>
    <x v="12"/>
    <d v="2026-05-20T00:00:00"/>
    <d v="2026-05-24T00:00:00"/>
    <d v="2026-05-20T00:00:00"/>
    <n v="1"/>
    <n v="1"/>
    <n v="100"/>
    <s v="SEM 22"/>
    <s v="May-2026"/>
    <x v="0"/>
    <n v="4"/>
    <x v="0"/>
    <s v="2026"/>
  </r>
  <r>
    <s v="Minerals Americas"/>
    <x v="0"/>
    <s v="BM Escondida"/>
    <s v="30129536"/>
    <s v="CML COMERCIALIZADORA E IMPORTADORA"/>
    <s v="CPT"/>
    <s v="BY AGREEMENT"/>
    <s v="80"/>
    <s v="SM5"/>
    <x v="2"/>
    <s v="#"/>
    <s v="Not assigned"/>
    <s v="4518684442"/>
    <n v="1000"/>
    <s v="Standard"/>
    <s v="X"/>
    <d v="2025-10-16T00:00:00"/>
    <x v="43"/>
    <d v="2025-11-03T00:00:00"/>
    <d v="2025-11-03T00:00:00"/>
    <d v="2025-11-03T00:00:00"/>
    <n v="1"/>
    <n v="1"/>
    <n v="100"/>
    <s v="SEM 3"/>
    <s v="Jan-2026"/>
    <x v="0"/>
    <n v="72"/>
    <x v="0"/>
    <s v="2026"/>
  </r>
  <r>
    <s v="Minerals Americas"/>
    <x v="0"/>
    <s v="BM Escondida"/>
    <s v="30129536"/>
    <s v="CML COMERCIALIZADORA E IMPORTADORA"/>
    <s v="CPT"/>
    <s v="BY AGREEMENT"/>
    <s v="80"/>
    <s v="SM5"/>
    <x v="2"/>
    <s v="#"/>
    <s v="Not assigned"/>
    <s v="4519185947"/>
    <n v="0"/>
    <s v="Standard"/>
    <s v="X"/>
    <d v="2026-02-12T00:00:00"/>
    <x v="48"/>
    <d v="2026-03-17T00:00:00"/>
    <d v="2026-02-26T00:00:00"/>
    <d v="2026-03-20T00:00:00"/>
    <n v="0"/>
    <n v="0"/>
    <s v="#DIV/0"/>
    <s v="SEM 20"/>
    <s v="May-2026"/>
    <x v="0"/>
    <n v="57"/>
    <x v="0"/>
    <s v="2026"/>
  </r>
  <r>
    <s v="Minerals Americas"/>
    <x v="0"/>
    <s v="BM Escondida"/>
    <s v="30129536"/>
    <s v="CML COMERCIALIZADORA E IMPORTADORA"/>
    <s v="CPT"/>
    <s v="BY AGREEMENT"/>
    <s v="80"/>
    <s v="SM5"/>
    <x v="2"/>
    <s v="#"/>
    <s v="Not assigned"/>
    <s v="4519185947"/>
    <n v="100"/>
    <s v="Standard"/>
    <s v="X"/>
    <d v="2026-02-12T00:00:00"/>
    <x v="48"/>
    <d v="2026-04-21T00:00:00"/>
    <d v="2026-02-26T00:00:00"/>
    <d v="2026-03-20T00:00:00"/>
    <n v="1"/>
    <n v="1"/>
    <n v="100"/>
    <s v="SEM 20"/>
    <s v="May-2026"/>
    <x v="0"/>
    <n v="22"/>
    <x v="0"/>
    <s v="2026"/>
  </r>
  <r>
    <s v="Minerals Americas"/>
    <x v="0"/>
    <s v="BM Escondida"/>
    <s v="30129536"/>
    <s v="CML COMERCIALIZADORA E IMPORTADORA"/>
    <s v="CPT"/>
    <s v="BY AGREEMENT"/>
    <s v="80"/>
    <s v="SM5"/>
    <x v="2"/>
    <s v="#"/>
    <s v="Not assigned"/>
    <s v="4519631273"/>
    <n v="1000"/>
    <s v="Standard"/>
    <s v="X"/>
    <d v="2026-05-20T00:00:00"/>
    <x v="51"/>
    <d v="2026-06-15T00:00:00"/>
    <d v="2026-06-10T00:00:00"/>
    <d v="2026-06-15T00:00:00"/>
    <n v="1"/>
    <n v="1"/>
    <n v="100"/>
    <s v="SEM 34"/>
    <s v="Aug-2026"/>
    <x v="0"/>
    <n v="64"/>
    <x v="0"/>
    <s v="2026"/>
  </r>
  <r>
    <s v="Minerals Americas"/>
    <x v="0"/>
    <s v="BM Escondida"/>
    <s v="30129536"/>
    <s v="CML COMERCIALIZADORA E IMPORTADORA"/>
    <s v="CPT"/>
    <s v="BY AGREEMENT"/>
    <s v="80"/>
    <s v="SM5"/>
    <x v="2"/>
    <s v="#"/>
    <s v="Not assigned"/>
    <s v="4519784080"/>
    <n v="4"/>
    <s v="Standard"/>
    <s v="X"/>
    <d v="2026-06-22T00:00:00"/>
    <x v="53"/>
    <d v="2026-07-13T00:00:00"/>
    <d v="2026-07-25T00:00:00"/>
    <d v="2026-07-13T00:00:00"/>
    <n v="1"/>
    <n v="1"/>
    <n v="100"/>
    <s v="SEM 39"/>
    <s v="Sep-2026"/>
    <x v="0"/>
    <n v="69"/>
    <x v="0"/>
    <s v="2026"/>
  </r>
  <r>
    <s v="Minerals Americas"/>
    <x v="0"/>
    <s v="BM Escondida"/>
    <s v="30129536"/>
    <s v="CML COMERCIALIZADORA E IMPORTADORA"/>
    <s v="CPT"/>
    <s v="BY AGREEMENT"/>
    <s v="80"/>
    <s v="SM5"/>
    <x v="3"/>
    <s v="10410934"/>
    <s v="STRIP,MTL,TYPE Z,STR"/>
    <s v="4519469786"/>
    <n v="19"/>
    <s v="Standard"/>
    <s v="X"/>
    <d v="2026-04-17T00:00:00"/>
    <x v="24"/>
    <d v="2026-05-06T00:00:00"/>
    <d v="2026-05-14T00:00:00"/>
    <d v="2026-05-06T00:00:00"/>
    <n v="1"/>
    <n v="1"/>
    <n v="100"/>
    <s v="SEM 20"/>
    <s v="May-2026"/>
    <x v="0"/>
    <n v="8"/>
    <x v="0"/>
    <s v="2026"/>
  </r>
  <r>
    <s v="Minerals Americas"/>
    <x v="0"/>
    <s v="BM Escondida"/>
    <s v="30129536"/>
    <s v="CML COMERCIALIZADORA E IMPORTADORA"/>
    <s v="CPT"/>
    <s v="BY AGREEMENT"/>
    <s v="90"/>
    <s v="SM5"/>
    <x v="2"/>
    <s v="#"/>
    <s v="Not assigned"/>
    <s v="4518684442"/>
    <n v="2000"/>
    <s v="Standard"/>
    <s v="X"/>
    <d v="2025-10-16T00:00:00"/>
    <x v="43"/>
    <d v="2025-11-04T00:00:00"/>
    <d v="2025-11-03T00:00:00"/>
    <d v="2025-11-04T00:00:00"/>
    <n v="1"/>
    <n v="1"/>
    <n v="100"/>
    <s v="SEM 3"/>
    <s v="Jan-2026"/>
    <x v="0"/>
    <n v="71"/>
    <x v="0"/>
    <s v="2026"/>
  </r>
  <r>
    <s v="Minerals Americas"/>
    <x v="0"/>
    <s v="BM Escondida"/>
    <s v="30129536"/>
    <s v="CML COMERCIALIZADORA E IMPORTADORA"/>
    <s v="CPT"/>
    <s v="BY AGREEMENT"/>
    <s v="90"/>
    <s v="SM5"/>
    <x v="2"/>
    <s v="#"/>
    <s v="Not assigned"/>
    <s v="4519185947"/>
    <n v="0"/>
    <s v="Standard"/>
    <s v="X"/>
    <d v="2026-02-12T00:00:00"/>
    <x v="48"/>
    <d v="2026-03-18T00:00:00"/>
    <d v="2026-02-26T00:00:00"/>
    <d v="2026-03-18T00:00:00"/>
    <n v="0"/>
    <n v="0"/>
    <s v="#DIV/0"/>
    <s v="SEM 20"/>
    <s v="May-2026"/>
    <x v="0"/>
    <n v="56"/>
    <x v="0"/>
    <s v="2026"/>
  </r>
  <r>
    <s v="Minerals Americas"/>
    <x v="0"/>
    <s v="BM Escondida"/>
    <s v="30129536"/>
    <s v="CML COMERCIALIZADORA E IMPORTADORA"/>
    <s v="CPT"/>
    <s v="BY AGREEMENT"/>
    <s v="90"/>
    <s v="SM5"/>
    <x v="2"/>
    <s v="#"/>
    <s v="Not assigned"/>
    <s v="4519185947"/>
    <n v="50"/>
    <s v="Standard"/>
    <s v="X"/>
    <d v="2026-02-12T00:00:00"/>
    <x v="48"/>
    <d v="2026-03-20T00:00:00"/>
    <d v="2026-02-26T00:00:00"/>
    <d v="2026-03-18T00:00:00"/>
    <n v="1"/>
    <n v="1"/>
    <n v="100"/>
    <s v="SEM 20"/>
    <s v="May-2026"/>
    <x v="0"/>
    <n v="54"/>
    <x v="0"/>
    <s v="2026"/>
  </r>
  <r>
    <s v="Minerals Americas"/>
    <x v="0"/>
    <s v="BM Escondida"/>
    <s v="30129536"/>
    <s v="CML COMERCIALIZADORA E IMPORTADORA"/>
    <s v="CPT"/>
    <s v="BY AGREEMENT"/>
    <s v="90"/>
    <s v="SM5"/>
    <x v="2"/>
    <s v="#"/>
    <s v="Not assigned"/>
    <s v="4519631273"/>
    <n v="100"/>
    <s v="Standard"/>
    <s v="X"/>
    <d v="2026-05-20T00:00:00"/>
    <x v="51"/>
    <d v="2026-06-25T00:00:00"/>
    <d v="2026-06-14T00:00:00"/>
    <d v="2026-06-25T00:00:00"/>
    <n v="1"/>
    <n v="1"/>
    <n v="100"/>
    <s v="SEM 34"/>
    <s v="Aug-2026"/>
    <x v="0"/>
    <n v="54"/>
    <x v="0"/>
    <s v="2026"/>
  </r>
  <r>
    <s v="Minerals Americas"/>
    <x v="0"/>
    <s v="BM Escondida"/>
    <s v="30129536"/>
    <s v="CML COMERCIALIZADORA E IMPORTADORA"/>
    <s v="CPT"/>
    <s v="BY AGREEMENT"/>
    <s v="90"/>
    <s v="SM5"/>
    <x v="3"/>
    <s v="10496658"/>
    <s v="RUBBER REPAIR COMPOU"/>
    <s v="4519469786"/>
    <n v="1"/>
    <s v="Standard"/>
    <s v="X"/>
    <d v="2026-04-17T00:00:00"/>
    <x v="65"/>
    <d v="2026-05-06T00:00:00"/>
    <d v="2026-05-20T00:00:00"/>
    <d v="2026-05-06T00:00:00"/>
    <n v="1"/>
    <n v="1"/>
    <n v="100"/>
    <s v="SEM 21"/>
    <s v="May-2026"/>
    <x v="0"/>
    <n v="14"/>
    <x v="0"/>
    <s v="2026"/>
  </r>
  <r>
    <s v="Minerals Americas"/>
    <x v="0"/>
    <s v="BM Escondida"/>
    <s v="30129536"/>
    <s v="CML COMERCIALIZADORA E IMPORTADORA"/>
    <s v="CPT"/>
    <s v="BY AGREEMENT"/>
    <s v="90"/>
    <s v="SM5"/>
    <x v="3"/>
    <s v="11440328"/>
    <s v="SILICONE COMPOUND,HI"/>
    <s v="4518742101"/>
    <n v="6"/>
    <s v="Standard"/>
    <s v="X"/>
    <d v="2025-10-29T00:00:00"/>
    <x v="78"/>
    <d v="2026-03-02T00:00:00"/>
    <d v="2026-03-20T00:00:00"/>
    <d v="2026-03-02T00:00:00"/>
    <n v="1"/>
    <n v="1"/>
    <n v="100"/>
    <s v="SEM 12"/>
    <s v="Mar-2026"/>
    <x v="0"/>
    <n v="18"/>
    <x v="0"/>
    <s v="2026"/>
  </r>
  <r>
    <s v="Minerals Americas"/>
    <x v="1"/>
    <s v="Do Not Use"/>
    <s v="30129536"/>
    <s v="CML COMERCIALIZADORA E IMPORTADORA"/>
    <s v="CPT"/>
    <s v="BY AGREEMENT"/>
    <s v="10"/>
    <s v="S43"/>
    <x v="1"/>
    <s v="11267207"/>
    <s v="CUTTER,PIPE,35 TO 75"/>
    <s v="4519924992"/>
    <n v="1"/>
    <s v="Standard"/>
    <s v="#"/>
    <d v="2026-07-20T00:00:00"/>
    <x v="253"/>
    <s v="#"/>
    <d v="2026-10-03T00:00:00"/>
    <d v="2026-07-20T00:00:00"/>
    <n v="1"/>
    <n v="0"/>
    <n v="0"/>
    <s v="SEM 43"/>
    <s v="Oct-2026"/>
    <x v="2"/>
    <n v="6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#"/>
    <s v="Not assigned"/>
    <s v="4519361366"/>
    <n v="1"/>
    <s v="Standard"/>
    <s v="X"/>
    <d v="2026-03-24T00:00:00"/>
    <x v="241"/>
    <d v="2026-04-24T00:00:00"/>
    <d v="2026-03-30T00:00:00"/>
    <d v="2026-04-24T00:00:00"/>
    <n v="1"/>
    <n v="0"/>
    <n v="0"/>
    <s v="SEM 14"/>
    <s v="Mar-2026"/>
    <x v="0"/>
    <n v="-25"/>
    <x v="1"/>
    <s v="2026"/>
  </r>
  <r>
    <s v="Minerals Americas"/>
    <x v="1"/>
    <s v="Spence Supply"/>
    <s v="30129536"/>
    <s v="CML COMERCIALIZADORA E IMPORTADORA"/>
    <s v="CPT"/>
    <s v="BY AGREEMENT"/>
    <s v="10"/>
    <s v="S43"/>
    <x v="1"/>
    <s v="#"/>
    <s v="Not assigned"/>
    <s v="4519496957"/>
    <n v="3"/>
    <s v="Standard"/>
    <s v="X"/>
    <d v="2026-04-22T00:00:00"/>
    <x v="242"/>
    <d v="2026-05-27T00:00:00"/>
    <d v="2026-05-31T00:00:00"/>
    <d v="2026-05-27T00:00:00"/>
    <n v="1"/>
    <n v="1"/>
    <n v="100"/>
    <s v="SEM 23"/>
    <s v="May-2026"/>
    <x v="0"/>
    <n v="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381535"/>
    <s v="FILLER,SURFACE,EPOXY"/>
    <s v="4519246225"/>
    <n v="2"/>
    <s v="Standard"/>
    <s v="X"/>
    <d v="2026-02-26T00:00:00"/>
    <x v="229"/>
    <d v="2026-03-26T00:00:00"/>
    <d v="2026-03-15T00:00:00"/>
    <d v="2026-03-26T00:00:00"/>
    <n v="1"/>
    <n v="1"/>
    <n v="100"/>
    <s v="SEM 22"/>
    <s v="May-2026"/>
    <x v="0"/>
    <n v="6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388168"/>
    <s v="STRUCTURAL SECTION,S"/>
    <s v="4520031745"/>
    <n v="21"/>
    <s v="Standard"/>
    <s v="#"/>
    <d v="2026-08-12T00:00:00"/>
    <x v="254"/>
    <s v="#"/>
    <d v="2026-11-03T00:00:00"/>
    <d v="2026-08-12T00:00:00"/>
    <n v="1"/>
    <n v="0"/>
    <n v="0"/>
    <s v="SEM 45"/>
    <s v="Nov-2026"/>
    <x v="2"/>
    <n v="7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406665"/>
    <s v="BAR,STL A-37,RECT,1-"/>
    <s v="4519069506"/>
    <n v="3"/>
    <s v="Standard"/>
    <s v="X"/>
    <d v="2026-01-16T00:00:00"/>
    <x v="163"/>
    <d v="2026-04-07T00:00:00"/>
    <d v="2026-04-11T00:00:00"/>
    <d v="2026-04-07T00:00:00"/>
    <n v="1"/>
    <n v="1"/>
    <n v="100"/>
    <s v="SEM 15"/>
    <s v="Apr-2026"/>
    <x v="0"/>
    <n v="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406665"/>
    <s v="BAR,STL A-37,RECT,1-"/>
    <s v="4519106652"/>
    <n v="3"/>
    <s v="Standard"/>
    <s v="X"/>
    <d v="2026-01-26T00:00:00"/>
    <x v="79"/>
    <d v="2026-04-07T00:00:00"/>
    <d v="2026-04-22T00:00:00"/>
    <d v="2026-04-07T00:00:00"/>
    <n v="1"/>
    <n v="1"/>
    <n v="100"/>
    <s v="SEM 17"/>
    <s v="Apr-2026"/>
    <x v="0"/>
    <n v="1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406665"/>
    <s v="BAR,STL A-37,RECT,1-"/>
    <s v="4519106653"/>
    <n v="2"/>
    <s v="Standard"/>
    <s v="X"/>
    <d v="2026-01-26T00:00:00"/>
    <x v="79"/>
    <d v="2026-04-07T00:00:00"/>
    <d v="2026-04-22T00:00:00"/>
    <d v="2026-04-07T00:00:00"/>
    <n v="1"/>
    <n v="1"/>
    <n v="100"/>
    <s v="SEM 17"/>
    <s v="Apr-2026"/>
    <x v="0"/>
    <n v="1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406665"/>
    <s v="BAR,STL A-37,RECT,1-"/>
    <s v="4519175194"/>
    <n v="5"/>
    <s v="Standard"/>
    <s v="X"/>
    <d v="2026-02-10T00:00:00"/>
    <x v="141"/>
    <d v="2026-05-04T00:00:00"/>
    <d v="2026-05-06T00:00:00"/>
    <d v="2026-05-04T00:00:00"/>
    <n v="1"/>
    <n v="1"/>
    <n v="100"/>
    <s v="SEM 19"/>
    <s v="May-2026"/>
    <x v="0"/>
    <n v="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406665"/>
    <s v="BAR,STL A-37,RECT,1-"/>
    <s v="4519175195"/>
    <n v="5"/>
    <s v="Standard"/>
    <s v="X"/>
    <d v="2026-02-10T00:00:00"/>
    <x v="24"/>
    <d v="2026-05-04T00:00:00"/>
    <d v="2026-05-14T00:00:00"/>
    <d v="2026-05-04T00:00:00"/>
    <n v="1"/>
    <n v="1"/>
    <n v="100"/>
    <s v="SEM 20"/>
    <s v="May-2026"/>
    <x v="0"/>
    <n v="1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406665"/>
    <s v="BAR,STL A-37,RECT,1-"/>
    <s v="4519216729"/>
    <n v="10"/>
    <s v="Standard"/>
    <s v="X"/>
    <d v="2026-02-19T00:00:00"/>
    <x v="234"/>
    <d v="2026-05-04T00:00:00"/>
    <d v="2026-05-21T00:00:00"/>
    <d v="2026-05-04T00:00:00"/>
    <n v="1"/>
    <n v="1"/>
    <n v="100"/>
    <s v="SEM 21"/>
    <s v="May-2026"/>
    <x v="0"/>
    <n v="1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406665"/>
    <s v="BAR,STL A-37,RECT,1-"/>
    <s v="4519262715"/>
    <n v="6"/>
    <s v="Standard"/>
    <s v="X"/>
    <d v="2026-03-03T00:00:00"/>
    <x v="17"/>
    <d v="2026-06-01T00:00:00"/>
    <d v="2026-06-03T00:00:00"/>
    <d v="2026-06-01T00:00:00"/>
    <n v="1"/>
    <n v="1"/>
    <n v="100"/>
    <s v="SEM 23"/>
    <s v="Jun-2026"/>
    <x v="0"/>
    <n v="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406665"/>
    <s v="BAR,STL A-37,RECT,1-"/>
    <s v="4519811817"/>
    <n v="1"/>
    <s v="Standard"/>
    <s v="#"/>
    <d v="2026-06-27T00:00:00"/>
    <x v="54"/>
    <s v="#"/>
    <d v="2026-09-25T00:00:00"/>
    <d v="2026-06-27T00:00:00"/>
    <n v="1"/>
    <n v="0"/>
    <n v="0"/>
    <s v="SEM 39"/>
    <s v="Sep-2026"/>
    <x v="2"/>
    <n v="3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406665"/>
    <s v="BAR,STL A-37,RECT,1-"/>
    <s v="4519864661"/>
    <n v="2"/>
    <s v="Standard"/>
    <s v="#"/>
    <d v="2026-07-07T00:00:00"/>
    <x v="255"/>
    <s v="#"/>
    <d v="2026-10-02T00:00:00"/>
    <d v="2026-07-07T00:00:00"/>
    <n v="1"/>
    <n v="0"/>
    <n v="0"/>
    <s v="SEM 40"/>
    <s v="Oct-2026"/>
    <x v="2"/>
    <n v="4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406665"/>
    <s v="BAR,STL A-37,RECT,1-"/>
    <s v="4519864743"/>
    <n v="5"/>
    <s v="Standard"/>
    <s v="#"/>
    <d v="2026-07-07T00:00:00"/>
    <x v="256"/>
    <s v="#"/>
    <d v="2026-10-03T00:00:00"/>
    <d v="2026-07-07T00:00:00"/>
    <n v="1"/>
    <n v="0"/>
    <n v="0"/>
    <s v="SEM 40"/>
    <s v="Oct-2026"/>
    <x v="2"/>
    <n v="4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416123"/>
    <s v="MODULE,PROFIBUS,SICK"/>
    <s v="4518859804"/>
    <n v="2"/>
    <s v="Standard"/>
    <s v="X"/>
    <d v="2025-11-25T00:00:00"/>
    <x v="201"/>
    <d v="2026-01-06T00:00:00"/>
    <d v="2026-01-15T00:00:00"/>
    <d v="2026-01-06T00:00:00"/>
    <n v="1"/>
    <n v="1"/>
    <n v="100"/>
    <s v="SEM 3"/>
    <s v="Jan-2026"/>
    <x v="0"/>
    <n v="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416123"/>
    <s v="MODULE,PROFIBUS,SICK"/>
    <s v="4519308927"/>
    <n v="2"/>
    <s v="Standard"/>
    <s v="X"/>
    <d v="2026-03-12T00:00:00"/>
    <x v="257"/>
    <d v="2026-05-04T00:00:00"/>
    <d v="2026-05-15T00:00:00"/>
    <d v="2026-05-04T00:00:00"/>
    <n v="1"/>
    <n v="1"/>
    <n v="100"/>
    <s v="SEM 20"/>
    <s v="May-2026"/>
    <x v="0"/>
    <n v="1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416123"/>
    <s v="MODULE,PROFIBUS,SICK"/>
    <s v="4519472151"/>
    <n v="4"/>
    <s v="Standard"/>
    <s v="X"/>
    <d v="2026-04-17T00:00:00"/>
    <x v="154"/>
    <d v="2026-06-01T00:00:00"/>
    <d v="2026-06-19T00:00:00"/>
    <d v="2026-06-01T00:00:00"/>
    <n v="1"/>
    <n v="1"/>
    <n v="100"/>
    <s v="SEM 25"/>
    <s v="Jun-2026"/>
    <x v="0"/>
    <n v="1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416123"/>
    <s v="MODULE,PROFIBUS,SICK"/>
    <s v="4519472188"/>
    <n v="2"/>
    <s v="Standard"/>
    <s v="X"/>
    <d v="2026-04-17T00:00:00"/>
    <x v="154"/>
    <d v="2026-06-01T00:00:00"/>
    <d v="2026-06-19T00:00:00"/>
    <d v="2026-06-01T00:00:00"/>
    <n v="1"/>
    <n v="1"/>
    <n v="100"/>
    <s v="SEM 25"/>
    <s v="Jun-2026"/>
    <x v="0"/>
    <n v="1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472843"/>
    <s v="POWER SUPPLY,SIEMENS"/>
    <s v="4519693962"/>
    <n v="1"/>
    <s v="Standard"/>
    <s v="#"/>
    <d v="2026-06-03T00:00:00"/>
    <x v="258"/>
    <s v="#"/>
    <d v="2026-10-29T00:00:00"/>
    <d v="2026-06-03T00:00:00"/>
    <n v="1"/>
    <n v="0"/>
    <n v="0"/>
    <s v="SEM 44"/>
    <s v="Oct-2026"/>
    <x v="2"/>
    <n v="7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472843"/>
    <s v="POWER SUPPLY,SIEMENS"/>
    <s v="4519789745"/>
    <n v="2"/>
    <s v="Standard"/>
    <s v="#"/>
    <d v="2026-06-23T00:00:00"/>
    <x v="222"/>
    <s v="#"/>
    <d v="2026-11-28T00:00:00"/>
    <d v="2026-06-23T00:00:00"/>
    <n v="1"/>
    <n v="0"/>
    <n v="0"/>
    <s v="SEM 48"/>
    <s v="Nov-2026"/>
    <x v="2"/>
    <n v="10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474036"/>
    <s v="MARKER,PERMANENT,RED"/>
    <s v="4519211406"/>
    <n v="24"/>
    <s v="Standard"/>
    <s v="X"/>
    <d v="2026-02-18T00:00:00"/>
    <x v="27"/>
    <d v="2026-02-25T00:00:00"/>
    <d v="2026-02-28T00:00:00"/>
    <d v="2026-02-25T00:00:00"/>
    <n v="1"/>
    <n v="1"/>
    <n v="100"/>
    <s v="SEM 9"/>
    <s v="Feb-2026"/>
    <x v="0"/>
    <n v="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474036"/>
    <s v="MARKER,PERMANENT,RED"/>
    <s v="4519538145"/>
    <n v="10"/>
    <s v="Standard"/>
    <s v="X"/>
    <d v="2026-05-01T00:00:00"/>
    <x v="34"/>
    <d v="2026-05-14T00:00:00"/>
    <d v="2026-05-29T00:00:00"/>
    <d v="2026-05-14T00:00:00"/>
    <n v="1"/>
    <n v="1"/>
    <n v="100"/>
    <s v="SEM 22"/>
    <s v="May-2026"/>
    <x v="0"/>
    <n v="1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474042"/>
    <s v="MARKER,XYLENE FREE,B"/>
    <s v="4519158937"/>
    <n v="50"/>
    <s v="Standard"/>
    <s v="X"/>
    <d v="2026-02-06T00:00:00"/>
    <x v="4"/>
    <d v="2026-03-02T00:00:00"/>
    <d v="2026-03-04T00:00:00"/>
    <d v="2026-03-02T00:00:00"/>
    <n v="1"/>
    <n v="1"/>
    <n v="100"/>
    <s v="SEM 10"/>
    <s v="Mar-2026"/>
    <x v="0"/>
    <n v="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474042"/>
    <s v="MARKER,XYLENE FREE,B"/>
    <s v="4519245766"/>
    <n v="10"/>
    <s v="Standard"/>
    <s v="X"/>
    <d v="2026-02-26T00:00:00"/>
    <x v="204"/>
    <d v="2026-03-11T00:00:00"/>
    <d v="2026-03-23T00:00:00"/>
    <d v="2026-03-11T00:00:00"/>
    <n v="1"/>
    <n v="1"/>
    <n v="100"/>
    <s v="SEM 13"/>
    <s v="Mar-2026"/>
    <x v="0"/>
    <n v="1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474042"/>
    <s v="MARKER,XYLENE FREE,B"/>
    <s v="4519250845"/>
    <n v="10"/>
    <s v="Standard"/>
    <s v="X"/>
    <d v="2026-02-27T00:00:00"/>
    <x v="205"/>
    <d v="2026-03-11T00:00:00"/>
    <d v="2026-03-27T00:00:00"/>
    <d v="2026-03-11T00:00:00"/>
    <n v="1"/>
    <n v="1"/>
    <n v="100"/>
    <s v="SEM 13"/>
    <s v="Mar-2026"/>
    <x v="0"/>
    <n v="1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474042"/>
    <s v="MARKER,XYLENE FREE,B"/>
    <s v="4519360528"/>
    <n v="10"/>
    <s v="Standard"/>
    <s v="X"/>
    <d v="2026-03-24T00:00:00"/>
    <x v="225"/>
    <d v="2026-04-02T00:00:00"/>
    <d v="2026-04-13T00:00:00"/>
    <d v="2026-04-02T00:00:00"/>
    <n v="1"/>
    <n v="1"/>
    <n v="100"/>
    <s v="SEM 16"/>
    <s v="Apr-2026"/>
    <x v="0"/>
    <n v="1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474042"/>
    <s v="MARKER,XYLENE FREE,B"/>
    <s v="4519496901"/>
    <n v="16"/>
    <s v="Standard"/>
    <s v="X"/>
    <d v="2026-04-22T00:00:00"/>
    <x v="186"/>
    <d v="2026-05-06T00:00:00"/>
    <d v="2026-05-18T00:00:00"/>
    <d v="2026-05-06T00:00:00"/>
    <n v="1"/>
    <n v="1"/>
    <n v="100"/>
    <s v="SEM 21"/>
    <s v="May-2026"/>
    <x v="0"/>
    <n v="1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474042"/>
    <s v="MARKER,XYLENE FREE,B"/>
    <s v="4519898107"/>
    <n v="18"/>
    <s v="Standard"/>
    <s v="X"/>
    <d v="2026-07-14T00:00:00"/>
    <x v="30"/>
    <d v="2026-08-03T00:00:00"/>
    <d v="2026-08-03T00:00:00"/>
    <d v="2026-08-03T00:00:00"/>
    <n v="1"/>
    <n v="1"/>
    <n v="100"/>
    <s v="SEM 32"/>
    <s v="Aug-2026"/>
    <x v="0"/>
    <n v="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486971"/>
    <s v="HEAT TRANSFER COMPOU"/>
    <s v="4519094983"/>
    <n v="5"/>
    <s v="Standard"/>
    <s v="X"/>
    <d v="2026-01-22T00:00:00"/>
    <x v="198"/>
    <d v="2026-04-01T00:00:00"/>
    <d v="2026-04-14T00:00:00"/>
    <d v="2026-04-01T00:00:00"/>
    <n v="1"/>
    <n v="1"/>
    <n v="100"/>
    <s v="SEM 16"/>
    <s v="Apr-2026"/>
    <x v="0"/>
    <n v="1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981061"/>
    <s v="CYLINDER,FIKE 70265"/>
    <s v="4518894850"/>
    <n v="3"/>
    <s v="Standard"/>
    <s v="X"/>
    <d v="2025-12-04T00:00:00"/>
    <x v="233"/>
    <d v="2026-03-30T00:00:00"/>
    <d v="2026-02-27T00:00:00"/>
    <d v="2026-03-30T00:00:00"/>
    <n v="1"/>
    <n v="0"/>
    <n v="0"/>
    <s v="SEM 9"/>
    <s v="Feb-2026"/>
    <x v="0"/>
    <n v="-31"/>
    <x v="1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981061"/>
    <s v="CYLINDER,FIKE 70265"/>
    <s v="4518894851"/>
    <n v="2"/>
    <s v="Standard"/>
    <s v="X"/>
    <d v="2025-12-04T00:00:00"/>
    <x v="233"/>
    <d v="2026-03-30T00:00:00"/>
    <d v="2026-02-27T00:00:00"/>
    <d v="2026-03-30T00:00:00"/>
    <n v="1"/>
    <n v="0"/>
    <n v="0"/>
    <s v="SEM 9"/>
    <s v="Feb-2026"/>
    <x v="0"/>
    <n v="-31"/>
    <x v="1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981061"/>
    <s v="CYLINDER,FIKE 70265"/>
    <s v="4518894853"/>
    <n v="3"/>
    <s v="Standard"/>
    <s v="X"/>
    <d v="2025-12-04T00:00:00"/>
    <x v="233"/>
    <d v="2026-03-30T00:00:00"/>
    <d v="2026-02-27T00:00:00"/>
    <d v="2026-03-30T00:00:00"/>
    <n v="1"/>
    <n v="0"/>
    <n v="0"/>
    <s v="SEM 9"/>
    <s v="Feb-2026"/>
    <x v="0"/>
    <n v="-31"/>
    <x v="1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981062"/>
    <s v="CYLINDER,FIKE 70266"/>
    <s v="4518912796"/>
    <n v="2"/>
    <s v="Standard"/>
    <s v="X"/>
    <d v="2025-12-08T00:00:00"/>
    <x v="233"/>
    <d v="2026-03-30T00:00:00"/>
    <d v="2026-02-27T00:00:00"/>
    <d v="2026-03-30T00:00:00"/>
    <n v="1"/>
    <n v="0"/>
    <n v="0"/>
    <s v="SEM 9"/>
    <s v="Feb-2026"/>
    <x v="0"/>
    <n v="-31"/>
    <x v="1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981062"/>
    <s v="CYLINDER,FIKE 70266"/>
    <s v="4518912797"/>
    <n v="2"/>
    <s v="Standard"/>
    <s v="X"/>
    <d v="2025-12-08T00:00:00"/>
    <x v="233"/>
    <d v="2026-03-30T00:00:00"/>
    <d v="2026-02-27T00:00:00"/>
    <d v="2026-03-30T00:00:00"/>
    <n v="1"/>
    <n v="0"/>
    <n v="0"/>
    <s v="SEM 9"/>
    <s v="Feb-2026"/>
    <x v="0"/>
    <n v="-31"/>
    <x v="1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981062"/>
    <s v="CYLINDER,FIKE 70266"/>
    <s v="4518912798"/>
    <n v="2"/>
    <s v="Standard"/>
    <s v="X"/>
    <d v="2025-12-08T00:00:00"/>
    <x v="233"/>
    <d v="2026-03-30T00:00:00"/>
    <d v="2026-02-27T00:00:00"/>
    <d v="2026-03-30T00:00:00"/>
    <n v="1"/>
    <n v="0"/>
    <n v="0"/>
    <s v="SEM 9"/>
    <s v="Feb-2026"/>
    <x v="0"/>
    <n v="-31"/>
    <x v="1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0987197"/>
    <s v="JUNCTION BOX,BOXTM-2"/>
    <s v="4519734134"/>
    <n v="1"/>
    <s v="Standard"/>
    <s v="X"/>
    <d v="2026-06-11T00:00:00"/>
    <x v="259"/>
    <d v="2026-07-13T00:00:00"/>
    <d v="2026-07-22T00:00:00"/>
    <d v="2026-07-13T00:00:00"/>
    <n v="1"/>
    <n v="1"/>
    <n v="100"/>
    <s v="SEM 30"/>
    <s v="Jul-2026"/>
    <x v="0"/>
    <n v="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1135972"/>
    <s v="SENSOR,PRESS,WITH SC"/>
    <s v="4518731567"/>
    <n v="1"/>
    <s v="Standard"/>
    <s v="X"/>
    <d v="2025-10-27T00:00:00"/>
    <x v="247"/>
    <d v="2026-01-02T00:00:00"/>
    <d v="2026-01-20T00:00:00"/>
    <d v="2026-01-02T00:00:00"/>
    <n v="1"/>
    <n v="1"/>
    <n v="100"/>
    <s v="SEM 5"/>
    <s v="Jan-2026"/>
    <x v="0"/>
    <n v="2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1260999"/>
    <s v="RESPIRATOR,SULFANE G"/>
    <s v="4518746413"/>
    <n v="35"/>
    <s v="Standard"/>
    <s v="X"/>
    <d v="2025-10-30T00:00:00"/>
    <x v="247"/>
    <d v="2026-01-02T00:00:00"/>
    <d v="2026-01-25T00:00:00"/>
    <d v="2026-01-02T00:00:00"/>
    <n v="1"/>
    <n v="1"/>
    <n v="100"/>
    <s v="SEM 5"/>
    <s v="Jan-2026"/>
    <x v="0"/>
    <n v="2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1260999"/>
    <s v="RESPIRATOR,SULFANE G"/>
    <s v="4518897817"/>
    <n v="1"/>
    <s v="Standard"/>
    <s v="X"/>
    <d v="2025-12-04T00:00:00"/>
    <x v="203"/>
    <d v="2026-02-02T00:00:00"/>
    <d v="2026-02-26T00:00:00"/>
    <d v="2026-02-02T00:00:00"/>
    <n v="1"/>
    <n v="1"/>
    <n v="100"/>
    <s v="SEM 9"/>
    <s v="Feb-2026"/>
    <x v="0"/>
    <n v="2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1260999"/>
    <s v="RESPIRATOR,SULFANE G"/>
    <s v="4518897819"/>
    <n v="2"/>
    <s v="Standard"/>
    <s v="X"/>
    <d v="2025-12-04T00:00:00"/>
    <x v="203"/>
    <d v="2026-02-02T00:00:00"/>
    <d v="2026-02-26T00:00:00"/>
    <d v="2026-02-02T00:00:00"/>
    <n v="1"/>
    <n v="1"/>
    <n v="100"/>
    <s v="SEM 9"/>
    <s v="Feb-2026"/>
    <x v="0"/>
    <n v="2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1260999"/>
    <s v="RESPIRATOR,SULFANE G"/>
    <s v="4518984241"/>
    <n v="4"/>
    <s v="Standard"/>
    <s v="X"/>
    <d v="2025-12-26T00:00:00"/>
    <x v="204"/>
    <d v="2026-03-02T00:00:00"/>
    <d v="2026-03-23T00:00:00"/>
    <d v="2026-03-02T00:00:00"/>
    <n v="1"/>
    <n v="1"/>
    <n v="100"/>
    <s v="SEM 13"/>
    <s v="Mar-2026"/>
    <x v="0"/>
    <n v="2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1260999"/>
    <s v="RESPIRATOR,SULFANE G"/>
    <s v="4519010421"/>
    <n v="1"/>
    <s v="Standard"/>
    <s v="X"/>
    <d v="2026-01-02T00:00:00"/>
    <x v="108"/>
    <d v="2026-04-01T00:00:00"/>
    <d v="2026-04-02T00:00:00"/>
    <d v="2026-04-01T00:00:00"/>
    <n v="1"/>
    <n v="1"/>
    <n v="100"/>
    <s v="SEM 14"/>
    <s v="Apr-2026"/>
    <x v="0"/>
    <n v="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1260999"/>
    <s v="RESPIRATOR,SULFANE G"/>
    <s v="4519041549"/>
    <n v="4"/>
    <s v="Standard"/>
    <s v="X"/>
    <d v="2026-01-09T00:00:00"/>
    <x v="206"/>
    <d v="2026-04-01T00:00:00"/>
    <d v="2026-04-06T00:00:00"/>
    <d v="2026-04-01T00:00:00"/>
    <n v="1"/>
    <n v="1"/>
    <n v="100"/>
    <s v="SEM 15"/>
    <s v="Apr-2026"/>
    <x v="0"/>
    <n v="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1260999"/>
    <s v="RESPIRATOR,SULFANE G"/>
    <s v="4519094768"/>
    <n v="7"/>
    <s v="Standard"/>
    <s v="X"/>
    <d v="2026-01-22T00:00:00"/>
    <x v="182"/>
    <d v="2026-04-01T00:00:00"/>
    <d v="2026-04-20T00:00:00"/>
    <d v="2026-04-01T00:00:00"/>
    <n v="1"/>
    <n v="1"/>
    <n v="100"/>
    <s v="SEM 17"/>
    <s v="Apr-2026"/>
    <x v="0"/>
    <n v="1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1260999"/>
    <s v="RESPIRATOR,SULFANE G"/>
    <s v="4519122200"/>
    <n v="10"/>
    <s v="Standard"/>
    <s v="X"/>
    <d v="2026-01-29T00:00:00"/>
    <x v="189"/>
    <d v="2026-04-01T00:00:00"/>
    <d v="2026-04-28T00:00:00"/>
    <d v="2026-04-01T00:00:00"/>
    <n v="1"/>
    <n v="1"/>
    <n v="100"/>
    <s v="SEM 18"/>
    <s v="Apr-2026"/>
    <x v="0"/>
    <n v="2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1260999"/>
    <s v="RESPIRATOR,SULFANE G"/>
    <s v="4519185823"/>
    <n v="15"/>
    <s v="Standard"/>
    <s v="X"/>
    <d v="2026-02-12T00:00:00"/>
    <x v="125"/>
    <d v="2026-05-04T00:00:00"/>
    <d v="2026-05-11T00:00:00"/>
    <d v="2026-05-04T00:00:00"/>
    <n v="1"/>
    <n v="1"/>
    <n v="100"/>
    <s v="SEM 20"/>
    <s v="May-2026"/>
    <x v="0"/>
    <n v="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1260999"/>
    <s v="RESPIRATOR,SULFANE G"/>
    <s v="4519298410"/>
    <n v="4"/>
    <s v="Standard"/>
    <s v="X"/>
    <d v="2026-03-10T00:00:00"/>
    <x v="153"/>
    <d v="2026-04-02T00:00:00"/>
    <d v="2026-04-13T00:00:00"/>
    <d v="2026-04-02T00:00:00"/>
    <n v="1"/>
    <n v="1"/>
    <n v="100"/>
    <s v="SEM 16"/>
    <s v="Apr-2026"/>
    <x v="0"/>
    <n v="1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1260999"/>
    <s v="RESPIRATOR,SULFANE G"/>
    <s v="4519499091"/>
    <n v="8"/>
    <s v="Standard"/>
    <s v="X"/>
    <d v="2026-04-23T00:00:00"/>
    <x v="19"/>
    <d v="2026-07-01T00:00:00"/>
    <d v="2026-07-15T00:00:00"/>
    <d v="2026-07-01T00:00:00"/>
    <n v="1"/>
    <n v="1"/>
    <n v="100"/>
    <s v="SEM 29"/>
    <s v="Jul-2026"/>
    <x v="0"/>
    <n v="1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1260999"/>
    <s v="RESPIRATOR,SULFANE G"/>
    <s v="4519631048"/>
    <n v="5"/>
    <s v="Standard"/>
    <s v="X"/>
    <d v="2026-05-20T00:00:00"/>
    <x v="51"/>
    <d v="2026-08-03T00:00:00"/>
    <d v="2026-08-18T00:00:00"/>
    <d v="2026-08-03T00:00:00"/>
    <n v="1"/>
    <n v="1"/>
    <n v="100"/>
    <s v="SEM 34"/>
    <s v="Aug-2026"/>
    <x v="0"/>
    <n v="1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1260999"/>
    <s v="RESPIRATOR,SULFANE G"/>
    <s v="4519667167"/>
    <n v="10"/>
    <s v="Standard"/>
    <s v="X"/>
    <d v="2026-05-28T00:00:00"/>
    <x v="133"/>
    <d v="2026-08-03T00:00:00"/>
    <d v="2026-08-24T00:00:00"/>
    <d v="2026-08-03T00:00:00"/>
    <n v="1"/>
    <n v="1"/>
    <n v="100"/>
    <s v="SEM 35"/>
    <s v="Aug-2026"/>
    <x v="0"/>
    <n v="2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1267433"/>
    <s v="BROOM,10IN,BLU,RUBBE"/>
    <s v="4518655101"/>
    <n v="2"/>
    <s v="Standard"/>
    <s v="X"/>
    <d v="2025-10-09T00:00:00"/>
    <x v="151"/>
    <d v="2026-03-02T00:00:00"/>
    <d v="2026-03-03T00:00:00"/>
    <d v="2026-03-02T00:00:00"/>
    <n v="1"/>
    <n v="0"/>
    <n v="0"/>
    <s v="SEM 1"/>
    <s v="Jan-2026"/>
    <x v="0"/>
    <n v="-58"/>
    <x v="1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1294331"/>
    <s v="BIN,UTILITY,STACKING"/>
    <s v="4519762009"/>
    <n v="2"/>
    <s v="Standard"/>
    <s v="X"/>
    <d v="2026-06-17T00:00:00"/>
    <x v="210"/>
    <d v="2026-08-03T00:00:00"/>
    <d v="2026-08-07T00:00:00"/>
    <d v="2026-08-03T00:00:00"/>
    <n v="1"/>
    <n v="1"/>
    <n v="100"/>
    <s v="SEM 32"/>
    <s v="Aug-2026"/>
    <x v="0"/>
    <n v="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1343519"/>
    <s v="HOT LINE STICK,TEL-O"/>
    <s v="4519080012"/>
    <n v="1"/>
    <s v="Standard"/>
    <s v="X"/>
    <d v="2026-01-19T00:00:00"/>
    <x v="108"/>
    <d v="2026-04-01T00:00:00"/>
    <d v="2026-04-02T00:00:00"/>
    <d v="2026-04-01T00:00:00"/>
    <n v="1"/>
    <n v="1"/>
    <n v="100"/>
    <s v="SEM 14"/>
    <s v="Apr-2026"/>
    <x v="0"/>
    <n v="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1343564"/>
    <s v="HOT LINE STICK,TEL-O"/>
    <s v="4520035102"/>
    <n v="2"/>
    <s v="Standard"/>
    <s v="#"/>
    <d v="2026-08-12T00:00:00"/>
    <x v="260"/>
    <s v="#"/>
    <d v="2026-11-07T00:00:00"/>
    <d v="2026-08-12T00:00:00"/>
    <n v="1"/>
    <n v="0"/>
    <n v="0"/>
    <s v="SEM 45"/>
    <s v="Nov-2026"/>
    <x v="2"/>
    <n v="8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1345764"/>
    <s v="TOOL BAG,LOW PROFILE"/>
    <s v="4520031035"/>
    <n v="1"/>
    <s v="Standard"/>
    <s v="#"/>
    <d v="2026-08-11T00:00:00"/>
    <x v="218"/>
    <s v="#"/>
    <d v="2026-11-05T00:00:00"/>
    <d v="2026-08-12T00:00:00"/>
    <n v="1"/>
    <n v="0"/>
    <n v="0"/>
    <s v="SEM 45"/>
    <s v="Nov-2026"/>
    <x v="2"/>
    <n v="7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1396351"/>
    <s v="TANK,LIQUID STORAGE,"/>
    <s v="4520030666"/>
    <n v="9"/>
    <s v="Standard"/>
    <s v="#"/>
    <d v="2026-08-11T00:00:00"/>
    <x v="261"/>
    <s v="#"/>
    <d v="2026-10-31T00:00:00"/>
    <d v="2026-08-11T00:00:00"/>
    <n v="1"/>
    <n v="0"/>
    <n v="0"/>
    <s v="SEM 46"/>
    <s v="Nov-2026"/>
    <x v="2"/>
    <n v="8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1418293"/>
    <s v="LIGHT,PANEL,LED 24W,"/>
    <s v="4519845387"/>
    <n v="6"/>
    <s v="Standard"/>
    <s v="#"/>
    <d v="2026-07-03T00:00:00"/>
    <x v="262"/>
    <s v="#"/>
    <d v="2026-09-19T00:00:00"/>
    <d v="2026-07-03T00:00:00"/>
    <n v="1"/>
    <n v="0"/>
    <n v="0"/>
    <s v="SEM 40"/>
    <s v="Oct-2026"/>
    <x v="2"/>
    <n v="4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1529783"/>
    <s v="KEY,LOCK,DIGITAL,TOU"/>
    <s v="4518644509"/>
    <n v="4"/>
    <s v="Standard"/>
    <s v="X"/>
    <d v="2025-10-07T00:00:00"/>
    <x v="151"/>
    <d v="2026-01-02T00:00:00"/>
    <d v="2026-01-03T00:00:00"/>
    <d v="2026-01-02T00:00:00"/>
    <n v="1"/>
    <n v="1"/>
    <n v="100"/>
    <s v="SEM 1"/>
    <s v="Jan-2026"/>
    <x v="0"/>
    <n v="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1529783"/>
    <s v="KEY,LOCK,DIGITAL,TOU"/>
    <s v="4519276815"/>
    <n v="1"/>
    <s v="Standard"/>
    <s v="X"/>
    <d v="2026-03-05T00:00:00"/>
    <x v="17"/>
    <d v="2026-03-17T00:00:00"/>
    <d v="2026-06-03T00:00:00"/>
    <d v="2026-03-17T00:00:00"/>
    <n v="1"/>
    <n v="1"/>
    <n v="100"/>
    <s v="SEM 23"/>
    <s v="Jun-2026"/>
    <x v="0"/>
    <n v="7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1529783"/>
    <s v="KEY,LOCK,DIGITAL,TOU"/>
    <s v="4519802995"/>
    <n v="3"/>
    <s v="Standard"/>
    <s v="#"/>
    <d v="2026-06-25T00:00:00"/>
    <x v="53"/>
    <s v="#"/>
    <d v="2026-09-20T00:00:00"/>
    <d v="2026-06-25T00:00:00"/>
    <n v="1"/>
    <n v="0"/>
    <n v="0"/>
    <s v="SEM 39"/>
    <s v="Sep-2026"/>
    <x v="2"/>
    <n v="3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1"/>
    <s v="11529783"/>
    <s v="KEY,LOCK,DIGITAL,TOU"/>
    <s v="4520024997"/>
    <n v="2"/>
    <s v="Standard"/>
    <s v="#"/>
    <d v="2026-08-10T00:00:00"/>
    <x v="260"/>
    <s v="#"/>
    <d v="2026-11-07T00:00:00"/>
    <d v="2026-08-10T00:00:00"/>
    <n v="1"/>
    <n v="0"/>
    <n v="0"/>
    <s v="SEM 45"/>
    <s v="Nov-2026"/>
    <x v="2"/>
    <n v="8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5"/>
    <s v="#"/>
    <s v="Not assigned"/>
    <s v="4518768175"/>
    <n v="4"/>
    <s v="Standard"/>
    <s v="X"/>
    <d v="2025-11-04T00:00:00"/>
    <x v="194"/>
    <d v="2025-12-01T00:00:00"/>
    <d v="2025-12-29T00:00:00"/>
    <d v="2025-12-01T00:00:00"/>
    <n v="1"/>
    <n v="1"/>
    <n v="100"/>
    <s v="SEM 6"/>
    <s v="Feb-2026"/>
    <x v="0"/>
    <n v="6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5"/>
    <s v="#"/>
    <s v="Not assigned"/>
    <s v="4518927607"/>
    <n v="1"/>
    <s v="Standard"/>
    <s v="X"/>
    <d v="2025-12-11T00:00:00"/>
    <x v="97"/>
    <d v="2026-01-06T00:00:00"/>
    <d v="2026-01-26T00:00:00"/>
    <d v="2026-01-06T00:00:00"/>
    <n v="1"/>
    <n v="1"/>
    <n v="100"/>
    <s v="SEM 11"/>
    <s v="Mar-2026"/>
    <x v="0"/>
    <n v="6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#"/>
    <s v="Not assigned"/>
    <s v="4519289272"/>
    <n v="12"/>
    <s v="Standard"/>
    <s v="X"/>
    <d v="2026-03-09T00:00:00"/>
    <x v="263"/>
    <d v="2026-03-23T00:00:00"/>
    <d v="2026-03-31T00:00:00"/>
    <d v="2026-03-23T00:00:00"/>
    <n v="1"/>
    <n v="0"/>
    <n v="0"/>
    <s v="SEM 11"/>
    <s v="Mar-2026"/>
    <x v="0"/>
    <n v="-14"/>
    <x v="1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003852"/>
    <s v="HOUSING,BRG,75MM (2."/>
    <s v="4519009620"/>
    <n v="1"/>
    <s v="Standard"/>
    <s v="X"/>
    <d v="2026-01-02T00:00:00"/>
    <x v="247"/>
    <d v="2026-01-20T00:00:00"/>
    <d v="2026-01-25T00:00:00"/>
    <d v="2026-01-20T00:00:00"/>
    <n v="1"/>
    <n v="1"/>
    <n v="100"/>
    <s v="SEM 5"/>
    <s v="Jan-2026"/>
    <x v="0"/>
    <n v="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003852"/>
    <s v="HOUSING,BRG,75MM (2."/>
    <s v="4519366724"/>
    <n v="7"/>
    <s v="Standard"/>
    <s v="X"/>
    <d v="2026-03-25T00:00:00"/>
    <x v="144"/>
    <d v="2026-04-17T00:00:00"/>
    <d v="2026-04-17T00:00:00"/>
    <d v="2026-04-17T00:00:00"/>
    <n v="1"/>
    <n v="1"/>
    <n v="100"/>
    <s v="SEM 16"/>
    <s v="Apr-2026"/>
    <x v="0"/>
    <n v="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005852"/>
    <s v="BEARING,RLR,SA,220MM"/>
    <s v="4519367623"/>
    <n v="2"/>
    <s v="Standard"/>
    <s v="X"/>
    <d v="2026-03-25T00:00:00"/>
    <x v="144"/>
    <d v="2026-04-17T00:00:00"/>
    <d v="2026-04-17T00:00:00"/>
    <d v="2026-04-17T00:00:00"/>
    <n v="1"/>
    <n v="1"/>
    <n v="100"/>
    <s v="SEM 16"/>
    <s v="Apr-2026"/>
    <x v="0"/>
    <n v="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068599"/>
    <s v="GASKET,ROCKER COVER,"/>
    <s v="4520030802"/>
    <n v="16"/>
    <s v="Standard"/>
    <s v="#"/>
    <d v="2026-08-11T00:00:00"/>
    <x v="264"/>
    <s v="#"/>
    <d v="2026-11-11T00:00:00"/>
    <d v="2026-08-11T00:00:00"/>
    <n v="1"/>
    <n v="0"/>
    <n v="0"/>
    <s v="SEM 46"/>
    <s v="Nov-2026"/>
    <x v="2"/>
    <n v="8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0644"/>
    <s v="DRUM,WIDE OPENING,PL"/>
    <s v="4519399351"/>
    <n v="216"/>
    <s v="Standard"/>
    <s v="X"/>
    <d v="2026-04-01T00:00:00"/>
    <x v="103"/>
    <d v="2026-04-07T00:00:00"/>
    <d v="2026-04-29T00:00:00"/>
    <d v="2026-04-07T00:00:00"/>
    <n v="1"/>
    <n v="1"/>
    <n v="100"/>
    <s v="SEM 18"/>
    <s v="Apr-2026"/>
    <x v="0"/>
    <n v="2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0644"/>
    <s v="DRUM,WIDE OPENING,PL"/>
    <s v="4519711454"/>
    <n v="216"/>
    <s v="Standard"/>
    <s v="X"/>
    <d v="2026-06-08T00:00:00"/>
    <x v="2"/>
    <d v="2026-06-19T00:00:00"/>
    <d v="2026-06-30T00:00:00"/>
    <d v="2026-06-19T00:00:00"/>
    <n v="1"/>
    <n v="1"/>
    <n v="100"/>
    <s v="SEM 27"/>
    <s v="Jun-2026"/>
    <x v="0"/>
    <n v="1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1536"/>
    <s v="PUTTY,FLEXANE PRIMER"/>
    <s v="4519230261"/>
    <n v="2"/>
    <s v="Standard"/>
    <s v="X"/>
    <d v="2026-02-23T00:00:00"/>
    <x v="238"/>
    <d v="2026-03-13T00:00:00"/>
    <d v="2026-03-15T00:00:00"/>
    <d v="2026-03-13T00:00:00"/>
    <n v="1"/>
    <n v="1"/>
    <n v="100"/>
    <s v="SEM 12"/>
    <s v="Mar-2026"/>
    <x v="0"/>
    <n v="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1536"/>
    <s v="PUTTY,FLEXANE PRIMER"/>
    <s v="4519241400"/>
    <n v="2"/>
    <s v="Standard"/>
    <s v="X"/>
    <d v="2026-02-25T00:00:00"/>
    <x v="173"/>
    <d v="2026-03-13T00:00:00"/>
    <d v="2026-03-04T00:00:00"/>
    <d v="2026-03-13T00:00:00"/>
    <n v="1"/>
    <n v="1"/>
    <n v="100"/>
    <s v="SEM 12"/>
    <s v="Mar-2026"/>
    <x v="0"/>
    <n v="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1803"/>
    <s v="CEMENT,IRON &amp; STEEL,"/>
    <s v="4519231519"/>
    <n v="12"/>
    <s v="Standard"/>
    <s v="X"/>
    <d v="2026-02-23T00:00:00"/>
    <x v="238"/>
    <d v="2026-03-13T00:00:00"/>
    <d v="2026-03-15T00:00:00"/>
    <d v="2026-03-13T00:00:00"/>
    <n v="1"/>
    <n v="1"/>
    <n v="100"/>
    <s v="SEM 12"/>
    <s v="Mar-2026"/>
    <x v="0"/>
    <n v="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1803"/>
    <s v="CEMENT,IRON &amp; STEEL,"/>
    <s v="4519241398"/>
    <n v="12"/>
    <s v="Standard"/>
    <s v="X"/>
    <d v="2026-02-25T00:00:00"/>
    <x v="173"/>
    <d v="2026-03-13T00:00:00"/>
    <d v="2026-03-04T00:00:00"/>
    <d v="2026-03-13T00:00:00"/>
    <n v="1"/>
    <n v="1"/>
    <n v="100"/>
    <s v="SEM 12"/>
    <s v="Mar-2026"/>
    <x v="0"/>
    <n v="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2511"/>
    <s v="BAR,STL ASTM A36,FLA"/>
    <s v="4519695587"/>
    <n v="4"/>
    <s v="Standard"/>
    <s v="X"/>
    <d v="2026-06-03T00:00:00"/>
    <x v="68"/>
    <d v="2026-06-19T00:00:00"/>
    <d v="2026-06-19T00:00:00"/>
    <d v="2026-06-19T00:00:00"/>
    <n v="1"/>
    <n v="1"/>
    <n v="100"/>
    <s v="SEM 26"/>
    <s v="Jun-2026"/>
    <x v="0"/>
    <n v="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4098"/>
    <s v="PUTTY,EPOXY,GRY,87 S"/>
    <s v="4518926972"/>
    <n v="54"/>
    <s v="Standard"/>
    <s v="X"/>
    <d v="2025-12-11T00:00:00"/>
    <x v="32"/>
    <d v="2026-01-06T00:00:00"/>
    <d v="2026-01-08T00:00:00"/>
    <d v="2026-01-06T00:00:00"/>
    <n v="1"/>
    <n v="1"/>
    <n v="100"/>
    <s v="SEM 2"/>
    <s v="Jan-2026"/>
    <x v="0"/>
    <n v="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4098"/>
    <s v="PUTTY,EPOXY,GRY,87 S"/>
    <s v="4518927401"/>
    <n v="50"/>
    <s v="Standard"/>
    <s v="X"/>
    <d v="2025-12-11T00:00:00"/>
    <x v="32"/>
    <d v="2026-01-06T00:00:00"/>
    <d v="2026-01-08T00:00:00"/>
    <d v="2026-01-06T00:00:00"/>
    <n v="1"/>
    <n v="1"/>
    <n v="100"/>
    <s v="SEM 2"/>
    <s v="Jan-2026"/>
    <x v="0"/>
    <n v="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4098"/>
    <s v="PUTTY,EPOXY,GRY,87 S"/>
    <s v="4519001244"/>
    <n v="2"/>
    <s v="Standard"/>
    <s v="X"/>
    <d v="2025-12-31T00:00:00"/>
    <x v="187"/>
    <d v="2026-01-13T00:00:00"/>
    <d v="2026-01-28T00:00:00"/>
    <d v="2026-01-13T00:00:00"/>
    <n v="1"/>
    <n v="1"/>
    <n v="100"/>
    <s v="SEM 5"/>
    <s v="Jan-2026"/>
    <x v="0"/>
    <n v="1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4098"/>
    <s v="PUTTY,EPOXY,GRY,87 S"/>
    <s v="4519169941"/>
    <n v="30"/>
    <s v="Standard"/>
    <s v="X"/>
    <d v="2026-02-09T00:00:00"/>
    <x v="263"/>
    <d v="2026-03-03T00:00:00"/>
    <d v="2026-03-09T00:00:00"/>
    <d v="2026-03-03T00:00:00"/>
    <n v="1"/>
    <n v="1"/>
    <n v="100"/>
    <s v="SEM 11"/>
    <s v="Mar-2026"/>
    <x v="0"/>
    <n v="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4098"/>
    <s v="PUTTY,EPOXY,GRY,87 S"/>
    <s v="4519271573"/>
    <n v="6"/>
    <s v="Standard"/>
    <s v="X"/>
    <d v="2026-03-04T00:00:00"/>
    <x v="107"/>
    <d v="2026-04-01T00:00:00"/>
    <d v="2026-04-01T00:00:00"/>
    <d v="2026-04-01T00:00:00"/>
    <n v="1"/>
    <n v="1"/>
    <n v="100"/>
    <s v="SEM 14"/>
    <s v="Apr-2026"/>
    <x v="0"/>
    <n v="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4098"/>
    <s v="PUTTY,EPOXY,GRY,87 S"/>
    <s v="4519303127"/>
    <n v="20"/>
    <s v="Standard"/>
    <s v="X"/>
    <d v="2026-03-11T00:00:00"/>
    <x v="102"/>
    <d v="2026-04-01T00:00:00"/>
    <d v="2026-04-08T00:00:00"/>
    <d v="2026-04-01T00:00:00"/>
    <n v="1"/>
    <n v="1"/>
    <n v="100"/>
    <s v="SEM 15"/>
    <s v="Apr-2026"/>
    <x v="0"/>
    <n v="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4098"/>
    <s v="PUTTY,EPOXY,GRY,87 S"/>
    <s v="4519371808"/>
    <n v="50"/>
    <s v="Standard"/>
    <s v="X"/>
    <d v="2026-03-26T00:00:00"/>
    <x v="59"/>
    <d v="2026-04-02T00:00:00"/>
    <d v="2026-04-23T00:00:00"/>
    <d v="2026-04-02T00:00:00"/>
    <n v="1"/>
    <n v="1"/>
    <n v="100"/>
    <s v="SEM 17"/>
    <s v="Apr-2026"/>
    <x v="0"/>
    <n v="2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4098"/>
    <s v="PUTTY,EPOXY,GRY,87 S"/>
    <s v="4519395733"/>
    <n v="6"/>
    <s v="Standard"/>
    <s v="X"/>
    <d v="2026-04-01T00:00:00"/>
    <x v="189"/>
    <d v="2026-04-16T00:00:00"/>
    <d v="2026-04-28T00:00:00"/>
    <d v="2026-04-16T00:00:00"/>
    <n v="1"/>
    <n v="1"/>
    <n v="100"/>
    <s v="SEM 18"/>
    <s v="Apr-2026"/>
    <x v="0"/>
    <n v="1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4098"/>
    <s v="PUTTY,EPOXY,GRY,87 S"/>
    <s v="4519493218"/>
    <n v="12"/>
    <s v="Standard"/>
    <s v="X"/>
    <d v="2026-04-22T00:00:00"/>
    <x v="62"/>
    <d v="2026-05-06T00:00:00"/>
    <d v="2026-05-19T00:00:00"/>
    <d v="2026-05-06T00:00:00"/>
    <n v="1"/>
    <n v="1"/>
    <n v="100"/>
    <s v="SEM 21"/>
    <s v="May-2026"/>
    <x v="0"/>
    <n v="1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4098"/>
    <s v="PUTTY,EPOXY,GRY,87 S"/>
    <s v="4519498858"/>
    <n v="5"/>
    <s v="Standard"/>
    <s v="X"/>
    <d v="2026-04-23T00:00:00"/>
    <x v="65"/>
    <d v="2026-05-06T00:00:00"/>
    <d v="2026-05-20T00:00:00"/>
    <d v="2026-05-06T00:00:00"/>
    <n v="1"/>
    <n v="1"/>
    <n v="100"/>
    <s v="SEM 21"/>
    <s v="May-2026"/>
    <x v="0"/>
    <n v="1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4098"/>
    <s v="PUTTY,EPOXY,GRY,87 S"/>
    <s v="4519767793"/>
    <n v="2"/>
    <s v="Standard"/>
    <s v="X"/>
    <d v="2026-06-18T00:00:00"/>
    <x v="110"/>
    <d v="2026-07-03T00:00:00"/>
    <d v="2026-07-16T00:00:00"/>
    <d v="2026-07-03T00:00:00"/>
    <n v="1"/>
    <n v="1"/>
    <n v="100"/>
    <s v="SEM 29"/>
    <s v="Jul-2026"/>
    <x v="0"/>
    <n v="1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4098"/>
    <s v="PUTTY,EPOXY,GRY,87 S"/>
    <s v="4519973233"/>
    <n v="80"/>
    <s v="Standard"/>
    <s v="X"/>
    <d v="2026-07-30T00:00:00"/>
    <x v="14"/>
    <d v="2026-08-14T00:00:00"/>
    <d v="2026-08-27T00:00:00"/>
    <d v="2026-08-14T00:00:00"/>
    <n v="1"/>
    <n v="1"/>
    <n v="100"/>
    <s v="SEM 35"/>
    <s v="Aug-2026"/>
    <x v="0"/>
    <n v="1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7231"/>
    <s v="GASKET,94.5MM ID,138"/>
    <s v="4518639866"/>
    <n v="2"/>
    <s v="Standard"/>
    <s v="X"/>
    <d v="2025-10-06T00:00:00"/>
    <x v="190"/>
    <d v="2026-01-16T00:00:00"/>
    <d v="2026-01-10T00:00:00"/>
    <d v="2026-01-16T00:00:00"/>
    <n v="1"/>
    <n v="0"/>
    <n v="0"/>
    <s v="SEM 2"/>
    <s v="Jan-2026"/>
    <x v="0"/>
    <n v="-6"/>
    <x v="1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7231"/>
    <s v="GASKET,94.5MM ID,138"/>
    <s v="4519283243"/>
    <n v="3"/>
    <s v="Standard"/>
    <s v="X"/>
    <d v="2026-03-07T00:00:00"/>
    <x v="252"/>
    <d v="2026-06-01T00:00:00"/>
    <d v="2026-06-11T00:00:00"/>
    <d v="2026-06-01T00:00:00"/>
    <n v="1"/>
    <n v="1"/>
    <n v="100"/>
    <s v="SEM 24"/>
    <s v="Jun-2026"/>
    <x v="0"/>
    <n v="1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7247"/>
    <s v="NUT,CAP,1/2IN UNC,BR"/>
    <s v="4519010592"/>
    <n v="6"/>
    <s v="Standard"/>
    <s v="X"/>
    <d v="2026-01-03T00:00:00"/>
    <x v="102"/>
    <d v="2026-04-01T00:00:00"/>
    <d v="2026-04-08T00:00:00"/>
    <d v="2026-04-01T00:00:00"/>
    <n v="1"/>
    <n v="1"/>
    <n v="100"/>
    <s v="SEM 15"/>
    <s v="Apr-2026"/>
    <x v="0"/>
    <n v="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7247"/>
    <s v="NUT,CAP,1/2IN UNC,BR"/>
    <s v="4519131266"/>
    <n v="3"/>
    <s v="Standard"/>
    <s v="X"/>
    <d v="2026-02-01T00:00:00"/>
    <x v="265"/>
    <d v="2026-05-04T00:00:00"/>
    <d v="2026-05-08T00:00:00"/>
    <d v="2026-05-04T00:00:00"/>
    <n v="1"/>
    <n v="1"/>
    <n v="100"/>
    <s v="SEM 19"/>
    <s v="May-2026"/>
    <x v="0"/>
    <n v="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7247"/>
    <s v="NUT,CAP,1/2IN UNC,BR"/>
    <s v="4519162962"/>
    <n v="3"/>
    <s v="Standard"/>
    <s v="X"/>
    <d v="2026-02-08T00:00:00"/>
    <x v="257"/>
    <d v="2026-05-04T00:00:00"/>
    <d v="2026-05-15T00:00:00"/>
    <d v="2026-05-04T00:00:00"/>
    <n v="1"/>
    <n v="1"/>
    <n v="100"/>
    <s v="SEM 20"/>
    <s v="May-2026"/>
    <x v="0"/>
    <n v="1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7247"/>
    <s v="NUT,CAP,1/2IN UNC,BR"/>
    <s v="4519192254"/>
    <n v="3"/>
    <s v="Standard"/>
    <s v="X"/>
    <d v="2026-02-14T00:00:00"/>
    <x v="234"/>
    <d v="2026-05-04T00:00:00"/>
    <d v="2026-05-21T00:00:00"/>
    <d v="2026-05-04T00:00:00"/>
    <n v="1"/>
    <n v="1"/>
    <n v="100"/>
    <s v="SEM 21"/>
    <s v="May-2026"/>
    <x v="0"/>
    <n v="1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7247"/>
    <s v="NUT,CAP,1/2IN UNC,BR"/>
    <s v="4519223575"/>
    <n v="3"/>
    <s v="Standard"/>
    <s v="X"/>
    <d v="2026-02-21T00:00:00"/>
    <x v="156"/>
    <d v="2026-05-04T00:00:00"/>
    <d v="2026-05-28T00:00:00"/>
    <d v="2026-05-04T00:00:00"/>
    <n v="1"/>
    <n v="1"/>
    <n v="100"/>
    <s v="SEM 22"/>
    <s v="May-2026"/>
    <x v="0"/>
    <n v="2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7247"/>
    <s v="NUT,CAP,1/2IN UNC,BR"/>
    <s v="4519253065"/>
    <n v="3"/>
    <s v="Standard"/>
    <s v="X"/>
    <d v="2026-02-28T00:00:00"/>
    <x v="109"/>
    <d v="2026-06-01T00:00:00"/>
    <d v="2026-06-04T00:00:00"/>
    <d v="2026-06-01T00:00:00"/>
    <n v="1"/>
    <n v="1"/>
    <n v="100"/>
    <s v="SEM 23"/>
    <s v="Jun-2026"/>
    <x v="0"/>
    <n v="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7247"/>
    <s v="NUT,CAP,1/2IN UNC,BR"/>
    <s v="4519283961"/>
    <n v="5"/>
    <s v="Standard"/>
    <s v="X"/>
    <d v="2026-03-07T00:00:00"/>
    <x v="252"/>
    <d v="2026-06-01T00:00:00"/>
    <d v="2026-06-11T00:00:00"/>
    <d v="2026-06-01T00:00:00"/>
    <n v="1"/>
    <n v="1"/>
    <n v="100"/>
    <s v="SEM 24"/>
    <s v="Jun-2026"/>
    <x v="0"/>
    <n v="1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7247"/>
    <s v="NUT,CAP,1/2IN UNC,BR"/>
    <s v="4519721438"/>
    <n v="18"/>
    <s v="Standard"/>
    <s v="#"/>
    <d v="2026-06-09T00:00:00"/>
    <x v="261"/>
    <s v="#"/>
    <d v="2026-11-09T00:00:00"/>
    <d v="2026-06-09T00:00:00"/>
    <n v="1"/>
    <n v="0"/>
    <n v="0"/>
    <s v="SEM 46"/>
    <s v="Nov-2026"/>
    <x v="2"/>
    <n v="8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7247"/>
    <s v="NUT,CAP,1/2IN UNC,BR"/>
    <s v="4519738729"/>
    <n v="3"/>
    <s v="Standard"/>
    <s v="#"/>
    <d v="2026-06-12T00:00:00"/>
    <x v="266"/>
    <s v="#"/>
    <d v="2026-11-12T00:00:00"/>
    <d v="2026-06-12T00:00:00"/>
    <n v="1"/>
    <n v="0"/>
    <n v="0"/>
    <s v="SEM 46"/>
    <s v="Nov-2026"/>
    <x v="2"/>
    <n v="8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7247"/>
    <s v="NUT,CAP,1/2IN UNC,BR"/>
    <s v="4519772481"/>
    <n v="3"/>
    <s v="Standard"/>
    <s v="#"/>
    <d v="2026-06-19T00:00:00"/>
    <x v="220"/>
    <s v="#"/>
    <d v="2026-11-19T00:00:00"/>
    <d v="2026-06-19T00:00:00"/>
    <n v="1"/>
    <n v="0"/>
    <n v="0"/>
    <s v="SEM 47"/>
    <s v="Nov-2026"/>
    <x v="2"/>
    <n v="9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7247"/>
    <s v="NUT,CAP,1/2IN UNC,BR"/>
    <s v="4519808367"/>
    <n v="3"/>
    <s v="Standard"/>
    <s v="#"/>
    <d v="2026-06-26T00:00:00"/>
    <x v="221"/>
    <s v="#"/>
    <d v="2026-11-26T00:00:00"/>
    <d v="2026-06-26T00:00:00"/>
    <n v="1"/>
    <n v="0"/>
    <n v="0"/>
    <s v="SEM 48"/>
    <s v="Nov-2026"/>
    <x v="2"/>
    <n v="10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7247"/>
    <s v="NUT,CAP,1/2IN UNC,BR"/>
    <s v="4519877873"/>
    <n v="7"/>
    <s v="Standard"/>
    <s v="#"/>
    <d v="2026-07-10T00:00:00"/>
    <x v="267"/>
    <s v="#"/>
    <d v="2026-12-10T00:00:00"/>
    <d v="2026-07-10T00:00:00"/>
    <n v="1"/>
    <n v="0"/>
    <n v="0"/>
    <s v="SEM 50"/>
    <s v="Dec-2026"/>
    <x v="2"/>
    <n v="11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7794"/>
    <s v="CEMENT,IRON &amp; STEEL,"/>
    <s v="4519021182"/>
    <n v="5"/>
    <s v="Standard"/>
    <s v="X"/>
    <d v="2026-01-05T00:00:00"/>
    <x v="86"/>
    <d v="2026-01-09T00:00:00"/>
    <d v="2026-03-26T00:00:00"/>
    <d v="2026-01-09T00:00:00"/>
    <n v="1"/>
    <n v="1"/>
    <n v="100"/>
    <s v="SEM 13"/>
    <s v="Mar-2026"/>
    <x v="0"/>
    <n v="7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7794"/>
    <s v="CEMENT,IRON &amp; STEEL,"/>
    <s v="4519222342"/>
    <n v="1"/>
    <s v="Standard"/>
    <s v="X"/>
    <d v="2026-02-21T00:00:00"/>
    <x v="180"/>
    <d v="2026-03-11T00:00:00"/>
    <d v="2026-03-21T00:00:00"/>
    <d v="2026-03-11T00:00:00"/>
    <n v="1"/>
    <n v="1"/>
    <n v="100"/>
    <s v="SEM 12"/>
    <s v="Mar-2026"/>
    <x v="0"/>
    <n v="1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7794"/>
    <s v="CEMENT,IRON &amp; STEEL,"/>
    <s v="4519241816"/>
    <n v="1"/>
    <s v="Standard"/>
    <s v="X"/>
    <d v="2026-02-25T00:00:00"/>
    <x v="268"/>
    <d v="2026-03-11T00:00:00"/>
    <d v="2026-03-25T00:00:00"/>
    <d v="2026-03-11T00:00:00"/>
    <n v="1"/>
    <n v="1"/>
    <n v="100"/>
    <s v="SEM 13"/>
    <s v="Mar-2026"/>
    <x v="0"/>
    <n v="1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7794"/>
    <s v="CEMENT,IRON &amp; STEEL,"/>
    <s v="4519242231"/>
    <n v="1"/>
    <s v="Standard"/>
    <s v="X"/>
    <d v="2026-02-26T00:00:00"/>
    <x v="268"/>
    <d v="2026-03-11T00:00:00"/>
    <d v="2026-03-25T00:00:00"/>
    <d v="2026-03-11T00:00:00"/>
    <n v="1"/>
    <n v="1"/>
    <n v="100"/>
    <s v="SEM 13"/>
    <s v="Mar-2026"/>
    <x v="0"/>
    <n v="1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7794"/>
    <s v="CEMENT,IRON &amp; STEEL,"/>
    <s v="4519246767"/>
    <n v="1"/>
    <s v="Standard"/>
    <s v="X"/>
    <d v="2026-02-26T00:00:00"/>
    <x v="86"/>
    <d v="2026-03-11T00:00:00"/>
    <d v="2026-03-26T00:00:00"/>
    <d v="2026-03-11T00:00:00"/>
    <n v="1"/>
    <n v="1"/>
    <n v="100"/>
    <s v="SEM 13"/>
    <s v="Mar-2026"/>
    <x v="0"/>
    <n v="1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7794"/>
    <s v="CEMENT,IRON &amp; STEEL,"/>
    <s v="4519250166"/>
    <n v="3"/>
    <s v="Standard"/>
    <s v="X"/>
    <d v="2026-02-27T00:00:00"/>
    <x v="257"/>
    <d v="2026-05-04T00:00:00"/>
    <d v="2026-05-15T00:00:00"/>
    <d v="2026-05-04T00:00:00"/>
    <n v="1"/>
    <n v="1"/>
    <n v="100"/>
    <s v="SEM 20"/>
    <s v="May-2026"/>
    <x v="0"/>
    <n v="1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7794"/>
    <s v="CEMENT,IRON &amp; STEEL,"/>
    <s v="4519276853"/>
    <n v="1"/>
    <s v="Standard"/>
    <s v="X"/>
    <d v="2026-03-05T00:00:00"/>
    <x v="81"/>
    <d v="2026-04-01T00:00:00"/>
    <d v="2026-04-27T00:00:00"/>
    <d v="2026-04-01T00:00:00"/>
    <n v="1"/>
    <n v="1"/>
    <n v="100"/>
    <s v="SEM 18"/>
    <s v="Apr-2026"/>
    <x v="0"/>
    <n v="2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7794"/>
    <s v="CEMENT,IRON &amp; STEEL,"/>
    <s v="4519307573"/>
    <n v="2"/>
    <s v="Standard"/>
    <s v="X"/>
    <d v="2026-03-12T00:00:00"/>
    <x v="257"/>
    <d v="2026-05-06T00:00:00"/>
    <d v="2026-05-15T00:00:00"/>
    <d v="2026-05-06T00:00:00"/>
    <n v="1"/>
    <n v="1"/>
    <n v="100"/>
    <s v="SEM 20"/>
    <s v="May-2026"/>
    <x v="0"/>
    <n v="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7794"/>
    <s v="CEMENT,IRON &amp; STEEL,"/>
    <s v="4519376727"/>
    <n v="2"/>
    <s v="Standard"/>
    <s v="X"/>
    <d v="2026-03-27T00:00:00"/>
    <x v="2"/>
    <d v="2026-06-01T00:00:00"/>
    <d v="2026-06-30T00:00:00"/>
    <d v="2026-06-01T00:00:00"/>
    <n v="1"/>
    <n v="1"/>
    <n v="100"/>
    <s v="SEM 27"/>
    <s v="Jun-2026"/>
    <x v="0"/>
    <n v="2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7794"/>
    <s v="CEMENT,IRON &amp; STEEL,"/>
    <s v="4519439818"/>
    <n v="16"/>
    <s v="Standard"/>
    <s v="X"/>
    <d v="2026-04-10T00:00:00"/>
    <x v="105"/>
    <d v="2026-08-03T00:00:00"/>
    <d v="2026-08-25T00:00:00"/>
    <d v="2026-08-03T00:00:00"/>
    <n v="1"/>
    <n v="1"/>
    <n v="100"/>
    <s v="SEM 35"/>
    <s v="Aug-2026"/>
    <x v="0"/>
    <n v="2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7794"/>
    <s v="CEMENT,IRON &amp; STEEL,"/>
    <s v="4519946426"/>
    <n v="4"/>
    <s v="Standard"/>
    <s v="#"/>
    <d v="2026-07-24T00:00:00"/>
    <x v="54"/>
    <s v="#"/>
    <d v="2026-09-25T00:00:00"/>
    <d v="2026-07-24T00:00:00"/>
    <n v="1"/>
    <n v="0"/>
    <n v="0"/>
    <s v="SEM 39"/>
    <s v="Sep-2026"/>
    <x v="2"/>
    <n v="3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8151"/>
    <s v="STRUCTURAL ANGLE,STL"/>
    <s v="4519122903"/>
    <n v="10"/>
    <s v="Standard"/>
    <s v="X"/>
    <d v="2026-01-29T00:00:00"/>
    <x v="158"/>
    <d v="2026-02-13T00:00:00"/>
    <d v="2026-02-21T00:00:00"/>
    <d v="2026-02-13T00:00:00"/>
    <n v="1"/>
    <n v="1"/>
    <n v="100"/>
    <s v="SEM 8"/>
    <s v="Feb-2026"/>
    <x v="0"/>
    <n v="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8151"/>
    <s v="STRUCTURAL ANGLE,STL"/>
    <s v="4519434600"/>
    <n v="10"/>
    <s v="Standard"/>
    <s v="X"/>
    <d v="2026-04-09T00:00:00"/>
    <x v="183"/>
    <d v="2026-04-29T00:00:00"/>
    <d v="2026-05-02T00:00:00"/>
    <d v="2026-04-29T00:00:00"/>
    <n v="1"/>
    <n v="1"/>
    <n v="100"/>
    <s v="SEM 18"/>
    <s v="May-2026"/>
    <x v="0"/>
    <n v="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8151"/>
    <s v="STRUCTURAL ANGLE,STL"/>
    <s v="4519434601"/>
    <n v="26"/>
    <s v="Standard"/>
    <s v="X"/>
    <d v="2026-04-09T00:00:00"/>
    <x v="183"/>
    <d v="2026-04-29T00:00:00"/>
    <d v="2026-05-02T00:00:00"/>
    <d v="2026-04-29T00:00:00"/>
    <n v="1"/>
    <n v="1"/>
    <n v="100"/>
    <s v="SEM 18"/>
    <s v="May-2026"/>
    <x v="0"/>
    <n v="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8151"/>
    <s v="STRUCTURAL ANGLE,STL"/>
    <s v="4519596048"/>
    <n v="4"/>
    <s v="Standard"/>
    <s v="X"/>
    <d v="2026-05-13T00:00:00"/>
    <x v="157"/>
    <d v="2026-06-01T00:00:00"/>
    <d v="2026-06-05T00:00:00"/>
    <d v="2026-06-01T00:00:00"/>
    <n v="1"/>
    <n v="1"/>
    <n v="100"/>
    <s v="SEM 23"/>
    <s v="Jun-2026"/>
    <x v="0"/>
    <n v="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8242"/>
    <s v="ROPE,FIBROUS,1/2IN D"/>
    <s v="4519055228"/>
    <n v="24"/>
    <s v="Standard"/>
    <s v="X"/>
    <d v="2026-01-13T00:00:00"/>
    <x v="120"/>
    <d v="2026-02-02T00:00:00"/>
    <d v="2026-02-05T00:00:00"/>
    <d v="2026-02-02T00:00:00"/>
    <n v="1"/>
    <n v="1"/>
    <n v="100"/>
    <s v="SEM 6"/>
    <s v="Feb-2026"/>
    <x v="0"/>
    <n v="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8242"/>
    <s v="ROPE,FIBROUS,1/2IN D"/>
    <s v="4519055229"/>
    <n v="25"/>
    <s v="Standard"/>
    <s v="X"/>
    <d v="2026-01-13T00:00:00"/>
    <x v="120"/>
    <d v="2026-02-02T00:00:00"/>
    <d v="2026-02-05T00:00:00"/>
    <d v="2026-02-02T00:00:00"/>
    <n v="1"/>
    <n v="1"/>
    <n v="100"/>
    <s v="SEM 6"/>
    <s v="Feb-2026"/>
    <x v="0"/>
    <n v="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8327"/>
    <s v="TAPE,ANTISEIZING,PTF"/>
    <s v="4519054751"/>
    <n v="8"/>
    <s v="Standard"/>
    <s v="X"/>
    <d v="2026-01-13T00:00:00"/>
    <x v="85"/>
    <d v="2026-02-03T00:00:00"/>
    <d v="2026-02-04T00:00:00"/>
    <d v="2026-02-03T00:00:00"/>
    <n v="1"/>
    <n v="1"/>
    <n v="100"/>
    <s v="SEM 6"/>
    <s v="Feb-2026"/>
    <x v="0"/>
    <n v="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8327"/>
    <s v="TAPE,ANTISEIZING,PTF"/>
    <s v="4519522617"/>
    <n v="20"/>
    <s v="Standard"/>
    <s v="X"/>
    <d v="2026-04-28T00:00:00"/>
    <x v="234"/>
    <d v="2026-05-11T00:00:00"/>
    <d v="2026-05-21T00:00:00"/>
    <d v="2026-05-11T00:00:00"/>
    <n v="1"/>
    <n v="1"/>
    <n v="100"/>
    <s v="SEM 21"/>
    <s v="May-2026"/>
    <x v="0"/>
    <n v="1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8327"/>
    <s v="TAPE,ANTISEIZING,PTF"/>
    <s v="4519979333"/>
    <n v="18"/>
    <s v="Standard"/>
    <s v="#"/>
    <d v="2026-07-31T00:00:00"/>
    <x v="104"/>
    <s v="#"/>
    <d v="2026-08-23T00:00:00"/>
    <d v="2026-07-31T00:00:00"/>
    <n v="1"/>
    <n v="0"/>
    <n v="0"/>
    <s v="SEM 35"/>
    <s v="Aug-2026"/>
    <x v="2"/>
    <n v="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8707"/>
    <s v="DRUM,WIDE OPENING,PL"/>
    <s v="4518940684"/>
    <n v="16"/>
    <s v="Standard"/>
    <s v="X"/>
    <d v="2025-12-15T00:00:00"/>
    <x v="15"/>
    <d v="2026-01-02T00:00:00"/>
    <d v="2026-01-17T00:00:00"/>
    <d v="2026-01-02T00:00:00"/>
    <n v="1"/>
    <n v="1"/>
    <n v="100"/>
    <s v="SEM 3"/>
    <s v="Jan-2026"/>
    <x v="0"/>
    <n v="1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8707"/>
    <s v="DRUM,WIDE OPENING,PL"/>
    <s v="4519060027"/>
    <n v="16"/>
    <s v="Standard"/>
    <s v="X"/>
    <d v="2026-01-14T00:00:00"/>
    <x v="88"/>
    <d v="2026-02-02T00:00:00"/>
    <d v="2026-02-16T00:00:00"/>
    <d v="2026-02-02T00:00:00"/>
    <n v="1"/>
    <n v="1"/>
    <n v="100"/>
    <s v="SEM 8"/>
    <s v="Feb-2026"/>
    <x v="0"/>
    <n v="1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8707"/>
    <s v="DRUM,WIDE OPENING,PL"/>
    <s v="4519095204"/>
    <n v="16"/>
    <s v="Standard"/>
    <s v="X"/>
    <d v="2026-01-22T00:00:00"/>
    <x v="16"/>
    <d v="2026-02-04T00:00:00"/>
    <d v="2026-02-24T00:00:00"/>
    <d v="2026-02-04T00:00:00"/>
    <n v="1"/>
    <n v="1"/>
    <n v="100"/>
    <s v="SEM 9"/>
    <s v="Feb-2026"/>
    <x v="0"/>
    <n v="2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8707"/>
    <s v="DRUM,WIDE OPENING,PL"/>
    <s v="4519112397"/>
    <n v="16"/>
    <s v="Standard"/>
    <s v="X"/>
    <d v="2026-01-27T00:00:00"/>
    <x v="246"/>
    <d v="2026-02-04T00:00:00"/>
    <d v="2026-03-01T00:00:00"/>
    <d v="2026-02-04T00:00:00"/>
    <n v="1"/>
    <n v="1"/>
    <n v="100"/>
    <s v="SEM 10"/>
    <s v="Mar-2026"/>
    <x v="0"/>
    <n v="2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8707"/>
    <s v="DRUM,WIDE OPENING,PL"/>
    <s v="4519320570"/>
    <n v="16"/>
    <s v="Standard"/>
    <s v="X"/>
    <d v="2026-03-15T00:00:00"/>
    <x v="144"/>
    <d v="2026-04-01T00:00:00"/>
    <d v="2026-04-17T00:00:00"/>
    <d v="2026-04-01T00:00:00"/>
    <n v="1"/>
    <n v="1"/>
    <n v="100"/>
    <s v="SEM 16"/>
    <s v="Apr-2026"/>
    <x v="0"/>
    <n v="1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8707"/>
    <s v="DRUM,WIDE OPENING,PL"/>
    <s v="4519351879"/>
    <n v="16"/>
    <s v="Standard"/>
    <s v="X"/>
    <d v="2026-03-23T00:00:00"/>
    <x v="113"/>
    <d v="2026-04-01T00:00:00"/>
    <d v="2026-04-24T00:00:00"/>
    <d v="2026-04-01T00:00:00"/>
    <n v="1"/>
    <n v="1"/>
    <n v="100"/>
    <s v="SEM 17"/>
    <s v="Apr-2026"/>
    <x v="0"/>
    <n v="2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8707"/>
    <s v="DRUM,WIDE OPENING,PL"/>
    <s v="4519378473"/>
    <n v="16"/>
    <s v="Standard"/>
    <s v="X"/>
    <d v="2026-03-27T00:00:00"/>
    <x v="103"/>
    <d v="2026-04-07T00:00:00"/>
    <d v="2026-04-29T00:00:00"/>
    <d v="2026-04-07T00:00:00"/>
    <n v="1"/>
    <n v="1"/>
    <n v="100"/>
    <s v="SEM 18"/>
    <s v="Apr-2026"/>
    <x v="0"/>
    <n v="2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8707"/>
    <s v="DRUM,WIDE OPENING,PL"/>
    <s v="4519529590"/>
    <n v="16"/>
    <s v="Standard"/>
    <s v="X"/>
    <d v="2026-04-30T00:00:00"/>
    <x v="126"/>
    <d v="2026-06-01T00:00:00"/>
    <d v="2026-06-01T00:00:00"/>
    <d v="2026-06-01T00:00:00"/>
    <n v="1"/>
    <n v="1"/>
    <n v="100"/>
    <s v="SEM 23"/>
    <s v="Jun-2026"/>
    <x v="0"/>
    <n v="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8707"/>
    <s v="DRUM,WIDE OPENING,PL"/>
    <s v="4519563942"/>
    <n v="16"/>
    <s v="Standard"/>
    <s v="X"/>
    <d v="2026-05-07T00:00:00"/>
    <x v="170"/>
    <d v="2026-06-01T00:00:00"/>
    <d v="2026-06-09T00:00:00"/>
    <d v="2026-06-01T00:00:00"/>
    <n v="1"/>
    <n v="1"/>
    <n v="100"/>
    <s v="SEM 24"/>
    <s v="Jun-2026"/>
    <x v="0"/>
    <n v="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8707"/>
    <s v="DRUM,WIDE OPENING,PL"/>
    <s v="4519620878"/>
    <n v="32"/>
    <s v="Standard"/>
    <s v="X"/>
    <d v="2026-05-19T00:00:00"/>
    <x v="209"/>
    <d v="2026-06-01T00:00:00"/>
    <d v="2026-06-20T00:00:00"/>
    <d v="2026-06-01T00:00:00"/>
    <n v="1"/>
    <n v="1"/>
    <n v="100"/>
    <s v="SEM 25"/>
    <s v="Jun-2026"/>
    <x v="0"/>
    <n v="1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8707"/>
    <s v="DRUM,WIDE OPENING,PL"/>
    <s v="4519653970"/>
    <n v="16"/>
    <s v="Standard"/>
    <s v="X"/>
    <d v="2026-05-26T00:00:00"/>
    <x v="185"/>
    <d v="2026-06-03T00:00:00"/>
    <d v="2026-06-28T00:00:00"/>
    <d v="2026-06-03T00:00:00"/>
    <n v="1"/>
    <n v="1"/>
    <n v="100"/>
    <s v="SEM 27"/>
    <s v="Jun-2026"/>
    <x v="0"/>
    <n v="2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8707"/>
    <s v="DRUM,WIDE OPENING,PL"/>
    <s v="4519744553"/>
    <n v="16"/>
    <s v="Standard"/>
    <s v="X"/>
    <d v="2026-06-15T00:00:00"/>
    <x v="117"/>
    <d v="2026-07-06T00:00:00"/>
    <d v="2026-07-17T00:00:00"/>
    <d v="2026-07-06T00:00:00"/>
    <n v="1"/>
    <n v="1"/>
    <n v="100"/>
    <s v="SEM 29"/>
    <s v="Jul-2026"/>
    <x v="0"/>
    <n v="1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8707"/>
    <s v="DRUM,WIDE OPENING,PL"/>
    <s v="4519903444"/>
    <n v="16"/>
    <s v="Standard"/>
    <s v="X"/>
    <d v="2026-07-15T00:00:00"/>
    <x v="188"/>
    <d v="2026-08-03T00:00:00"/>
    <d v="2026-08-17T00:00:00"/>
    <d v="2026-08-03T00:00:00"/>
    <n v="1"/>
    <n v="1"/>
    <n v="100"/>
    <s v="SEM 34"/>
    <s v="Aug-2026"/>
    <x v="0"/>
    <n v="1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88707"/>
    <s v="DRUM,WIDE OPENING,PL"/>
    <s v="4519991431"/>
    <n v="16"/>
    <s v="Standard"/>
    <s v="#"/>
    <d v="2026-08-04T00:00:00"/>
    <x v="134"/>
    <s v="#"/>
    <d v="2026-09-05T00:00:00"/>
    <d v="2026-08-04T00:00:00"/>
    <n v="1"/>
    <n v="0"/>
    <n v="0"/>
    <s v="SEM 36"/>
    <s v="Sep-2026"/>
    <x v="2"/>
    <n v="1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95125"/>
    <s v="HOSE ASSY,HP,6FT LG"/>
    <s v="4518955310"/>
    <n v="2"/>
    <s v="Standard"/>
    <s v="X"/>
    <d v="2025-12-18T00:00:00"/>
    <x v="190"/>
    <d v="2026-01-08T00:00:00"/>
    <d v="2026-01-10T00:00:00"/>
    <d v="2026-01-08T00:00:00"/>
    <n v="1"/>
    <n v="1"/>
    <n v="100"/>
    <s v="SEM 2"/>
    <s v="Jan-2026"/>
    <x v="0"/>
    <n v="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95125"/>
    <s v="HOSE ASSY,HP,6FT LG"/>
    <s v="4519041680"/>
    <n v="5"/>
    <s v="Standard"/>
    <s v="X"/>
    <d v="2026-01-09T00:00:00"/>
    <x v="77"/>
    <d v="2026-02-04T00:00:00"/>
    <d v="2026-02-01T00:00:00"/>
    <d v="2026-02-04T00:00:00"/>
    <n v="1"/>
    <n v="0"/>
    <n v="0"/>
    <s v="SEM 6"/>
    <s v="Feb-2026"/>
    <x v="0"/>
    <n v="-3"/>
    <x v="1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95125"/>
    <s v="HOSE ASSY,HP,6FT LG"/>
    <s v="4519138593"/>
    <n v="3"/>
    <s v="Standard"/>
    <s v="X"/>
    <d v="2026-02-03T00:00:00"/>
    <x v="72"/>
    <d v="2026-02-12T00:00:00"/>
    <d v="2026-02-25T00:00:00"/>
    <d v="2026-02-12T00:00:00"/>
    <n v="1"/>
    <n v="1"/>
    <n v="100"/>
    <s v="SEM 9"/>
    <s v="Feb-2026"/>
    <x v="0"/>
    <n v="1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95125"/>
    <s v="HOSE ASSY,HP,6FT LG"/>
    <s v="4519434841"/>
    <n v="2"/>
    <s v="Standard"/>
    <s v="X"/>
    <d v="2026-04-09T00:00:00"/>
    <x v="183"/>
    <d v="2026-04-22T00:00:00"/>
    <d v="2026-05-02T00:00:00"/>
    <d v="2026-04-22T00:00:00"/>
    <n v="1"/>
    <n v="1"/>
    <n v="100"/>
    <s v="SEM 18"/>
    <s v="May-2026"/>
    <x v="0"/>
    <n v="1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95125"/>
    <s v="HOSE ASSY,HP,6FT LG"/>
    <s v="4519561455"/>
    <n v="7"/>
    <s v="Standard"/>
    <s v="X"/>
    <d v="2026-05-06T00:00:00"/>
    <x v="34"/>
    <d v="2026-05-28T00:00:00"/>
    <d v="2026-05-29T00:00:00"/>
    <d v="2026-05-07T00:00:00"/>
    <n v="1"/>
    <n v="1"/>
    <n v="100"/>
    <s v="SEM 22"/>
    <s v="May-2026"/>
    <x v="0"/>
    <n v="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95125"/>
    <s v="HOSE ASSY,HP,6FT LG"/>
    <s v="4519652822"/>
    <n v="4"/>
    <s v="Standard"/>
    <s v="X"/>
    <d v="2026-05-25T00:00:00"/>
    <x v="64"/>
    <d v="2026-06-08T00:00:00"/>
    <d v="2026-06-17T00:00:00"/>
    <d v="2026-06-08T00:00:00"/>
    <n v="1"/>
    <n v="1"/>
    <n v="100"/>
    <s v="SEM 25"/>
    <s v="Jun-2026"/>
    <x v="0"/>
    <n v="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95125"/>
    <s v="HOSE ASSY,HP,6FT LG"/>
    <s v="4519908074"/>
    <n v="6"/>
    <s v="Standard"/>
    <s v="X"/>
    <d v="2026-07-16T00:00:00"/>
    <x v="127"/>
    <d v="2026-08-07T00:00:00"/>
    <d v="2026-08-08T00:00:00"/>
    <d v="2026-08-07T00:00:00"/>
    <n v="1"/>
    <n v="1"/>
    <n v="100"/>
    <s v="SEM 32"/>
    <s v="Aug-2026"/>
    <x v="0"/>
    <n v="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395125"/>
    <s v="HOSE ASSY,HP,6FT LG"/>
    <s v="4519996947"/>
    <n v="2"/>
    <s v="Standard"/>
    <s v="#"/>
    <d v="2026-08-04T00:00:00"/>
    <x v="14"/>
    <s v="#"/>
    <d v="2026-08-27T00:00:00"/>
    <d v="2026-08-04T00:00:00"/>
    <n v="1"/>
    <n v="0"/>
    <n v="0"/>
    <s v="SEM 35"/>
    <s v="Aug-2026"/>
    <x v="2"/>
    <n v="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19991"/>
    <s v="STRIP,RBR,REFTEC 453"/>
    <s v="4519069481"/>
    <n v="1955"/>
    <s v="Standard"/>
    <s v="X"/>
    <d v="2026-01-16T00:00:00"/>
    <x v="191"/>
    <d v="2026-02-10T00:00:00"/>
    <d v="2026-02-18T00:00:00"/>
    <d v="2026-02-10T00:00:00"/>
    <n v="1"/>
    <n v="1"/>
    <n v="100"/>
    <s v="SEM 8"/>
    <s v="Feb-2026"/>
    <x v="0"/>
    <n v="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19991"/>
    <s v="STRIP,RBR,REFTEC 453"/>
    <s v="4519103435"/>
    <n v="4627"/>
    <s v="Standard"/>
    <s v="X"/>
    <d v="2026-01-26T00:00:00"/>
    <x v="81"/>
    <d v="2026-02-18T00:00:00"/>
    <d v="2026-04-27T00:00:00"/>
    <d v="2026-02-18T00:00:00"/>
    <n v="1"/>
    <n v="1"/>
    <n v="100"/>
    <s v="SEM 18"/>
    <s v="Apr-2026"/>
    <x v="0"/>
    <n v="6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19991"/>
    <s v="STRIP,RBR,REFTEC 453"/>
    <s v="4519435488"/>
    <n v="14967"/>
    <s v="Standard"/>
    <s v="X"/>
    <d v="2026-04-09T00:00:00"/>
    <x v="175"/>
    <d v="2026-05-14T00:00:00"/>
    <d v="2026-05-12T00:00:00"/>
    <d v="2026-04-13T00:00:00"/>
    <n v="1"/>
    <n v="0"/>
    <n v="0"/>
    <s v="SEM 20"/>
    <s v="May-2026"/>
    <x v="0"/>
    <n v="-2"/>
    <x v="1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19991"/>
    <s v="STRIP,RBR,REFTEC 453"/>
    <s v="4519469893"/>
    <n v="4000"/>
    <s v="Standard"/>
    <s v="X"/>
    <d v="2026-04-17T00:00:00"/>
    <x v="62"/>
    <d v="2026-05-06T00:00:00"/>
    <d v="2026-05-19T00:00:00"/>
    <d v="2026-05-06T00:00:00"/>
    <n v="1"/>
    <n v="1"/>
    <n v="100"/>
    <s v="SEM 21"/>
    <s v="May-2026"/>
    <x v="0"/>
    <n v="1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19991"/>
    <s v="STRIP,RBR,REFTEC 453"/>
    <s v="4519524014"/>
    <n v="4000"/>
    <s v="Standard"/>
    <s v="X"/>
    <d v="2026-04-29T00:00:00"/>
    <x v="242"/>
    <d v="2026-05-27T00:00:00"/>
    <d v="2026-05-31T00:00:00"/>
    <d v="2026-04-29T00:00:00"/>
    <n v="1"/>
    <n v="0"/>
    <n v="0"/>
    <s v="SEM 23"/>
    <s v="May-2026"/>
    <x v="0"/>
    <n v="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19991"/>
    <s v="STRIP,RBR,REFTEC 453"/>
    <s v="4519549208"/>
    <n v="4000"/>
    <s v="Standard"/>
    <s v="X"/>
    <d v="2026-05-05T00:00:00"/>
    <x v="176"/>
    <d v="2026-07-24T00:00:00"/>
    <d v="2026-06-06T00:00:00"/>
    <d v="2026-07-24T00:00:00"/>
    <n v="1"/>
    <n v="0"/>
    <n v="0"/>
    <s v="SEM 23"/>
    <s v="Jun-2026"/>
    <x v="0"/>
    <n v="-48"/>
    <x v="1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19991"/>
    <s v="STRIP,RBR,REFTEC 453"/>
    <s v="4519572575"/>
    <n v="469"/>
    <s v="Standard"/>
    <s v="X"/>
    <d v="2026-05-09T00:00:00"/>
    <x v="35"/>
    <d v="2026-06-01T00:00:00"/>
    <d v="2026-06-10T00:00:00"/>
    <d v="2026-06-01T00:00:00"/>
    <n v="1"/>
    <n v="1"/>
    <n v="100"/>
    <s v="SEM 24"/>
    <s v="Jun-2026"/>
    <x v="0"/>
    <n v="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19991"/>
    <s v="STRIP,RBR,REFTEC 453"/>
    <s v="4519607302"/>
    <n v="12000"/>
    <s v="Standard"/>
    <s v="X"/>
    <d v="2026-05-15T00:00:00"/>
    <x v="64"/>
    <d v="2026-06-11T00:00:00"/>
    <d v="2026-06-17T00:00:00"/>
    <d v="2026-05-15T00:00:00"/>
    <n v="1"/>
    <n v="0"/>
    <n v="0"/>
    <s v="SEM 25"/>
    <s v="Jun-2026"/>
    <x v="0"/>
    <n v="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19991"/>
    <s v="STRIP,RBR,REFTEC 453"/>
    <s v="4519708140"/>
    <n v="6000"/>
    <s v="Standard"/>
    <s v="X"/>
    <d v="2026-06-06T00:00:00"/>
    <x v="6"/>
    <d v="2026-07-03T00:00:00"/>
    <d v="2026-07-09T00:00:00"/>
    <d v="2026-06-08T00:00:00"/>
    <n v="1"/>
    <n v="1"/>
    <n v="100"/>
    <s v="SEM 28"/>
    <s v="Jul-2026"/>
    <x v="0"/>
    <n v="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19991"/>
    <s v="STRIP,RBR,REFTEC 453"/>
    <s v="4519846427"/>
    <n v="5000"/>
    <s v="Standard"/>
    <s v="X"/>
    <d v="2026-07-03T00:00:00"/>
    <x v="61"/>
    <d v="2026-08-03T00:00:00"/>
    <d v="2026-08-05T00:00:00"/>
    <d v="2026-08-03T00:00:00"/>
    <n v="1"/>
    <n v="1"/>
    <n v="100"/>
    <s v="SEM 32"/>
    <s v="Aug-2026"/>
    <x v="0"/>
    <n v="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19991"/>
    <s v="STRIP,RBR,REFTEC 453"/>
    <s v="4519864872"/>
    <n v="2400"/>
    <s v="Standard"/>
    <s v="X"/>
    <d v="2026-07-07T00:00:00"/>
    <x v="75"/>
    <d v="2026-08-03T00:00:00"/>
    <d v="2026-08-09T00:00:00"/>
    <d v="2026-08-03T00:00:00"/>
    <n v="1"/>
    <n v="1"/>
    <n v="100"/>
    <s v="SEM 33"/>
    <s v="Aug-2026"/>
    <x v="0"/>
    <n v="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19991"/>
    <s v="STRIP,RBR,REFTEC 453"/>
    <s v="4519865016"/>
    <n v="69"/>
    <s v="Standard"/>
    <s v="X"/>
    <d v="2026-07-07T00:00:00"/>
    <x v="75"/>
    <d v="2026-08-03T00:00:00"/>
    <d v="2026-08-09T00:00:00"/>
    <d v="2026-08-03T00:00:00"/>
    <n v="1"/>
    <n v="1"/>
    <n v="100"/>
    <s v="SEM 33"/>
    <s v="Aug-2026"/>
    <x v="0"/>
    <n v="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19991"/>
    <s v="STRIP,RBR,REFTEC 453"/>
    <s v="4519916535"/>
    <n v="7090"/>
    <s v="Standard"/>
    <s v="X"/>
    <d v="2026-07-18T00:00:00"/>
    <x v="212"/>
    <d v="2026-08-10T00:00:00"/>
    <d v="2026-08-20T00:00:00"/>
    <d v="2026-07-20T00:00:00"/>
    <n v="1"/>
    <n v="1"/>
    <n v="100"/>
    <s v="SEM 34"/>
    <s v="Aug-2026"/>
    <x v="0"/>
    <n v="1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19991"/>
    <s v="STRIP,RBR,REFTEC 453"/>
    <s v="4519947332"/>
    <n v="5000"/>
    <s v="Standard"/>
    <s v="#"/>
    <d v="2026-07-25T00:00:00"/>
    <x v="118"/>
    <d v="2026-08-14T00:00:00"/>
    <d v="2026-08-26T00:00:00"/>
    <d v="2026-07-27T00:00:00"/>
    <n v="1"/>
    <n v="0"/>
    <n v="0"/>
    <s v="SEM 35"/>
    <s v="Aug-2026"/>
    <x v="1"/>
    <n v="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19991"/>
    <s v="STRIP,RBR,REFTEC 453"/>
    <s v="4520002612"/>
    <n v="5000"/>
    <s v="Standard"/>
    <s v="#"/>
    <d v="2026-08-05T00:00:00"/>
    <x v="231"/>
    <s v="#"/>
    <d v="2026-09-07T00:00:00"/>
    <d v="2026-08-05T00:00:00"/>
    <n v="1"/>
    <n v="0"/>
    <n v="0"/>
    <s v="SEM 37"/>
    <s v="Sep-2026"/>
    <x v="2"/>
    <n v="2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19991"/>
    <s v="STRIP,RBR,REFTEC 453"/>
    <s v="4520016947"/>
    <n v="350"/>
    <s v="Standard"/>
    <s v="#"/>
    <d v="2026-08-08T00:00:00"/>
    <x v="166"/>
    <s v="#"/>
    <d v="2026-09-10T00:00:00"/>
    <d v="2026-08-08T00:00:00"/>
    <n v="1"/>
    <n v="0"/>
    <n v="0"/>
    <s v="SEM 37"/>
    <s v="Sep-2026"/>
    <x v="2"/>
    <n v="2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21241"/>
    <s v="TERMINAL,CTRL,EYE,5M"/>
    <s v="4519394815"/>
    <n v="200"/>
    <s v="Standard"/>
    <s v="X"/>
    <d v="2026-03-31T00:00:00"/>
    <x v="245"/>
    <d v="2026-04-17T00:00:00"/>
    <d v="2026-04-21T00:00:00"/>
    <d v="2026-04-17T00:00:00"/>
    <n v="1"/>
    <n v="1"/>
    <n v="100"/>
    <s v="SEM 17"/>
    <s v="Apr-2026"/>
    <x v="0"/>
    <n v="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43911"/>
    <s v="POWER BOARD,EXTN,5 O"/>
    <s v="4519326954"/>
    <n v="29"/>
    <s v="Standard"/>
    <s v="X"/>
    <d v="2026-03-16T00:00:00"/>
    <x v="102"/>
    <d v="2026-04-01T00:00:00"/>
    <d v="2026-04-08T00:00:00"/>
    <d v="2026-04-01T00:00:00"/>
    <n v="1"/>
    <n v="1"/>
    <n v="100"/>
    <s v="SEM 15"/>
    <s v="Apr-2026"/>
    <x v="0"/>
    <n v="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43955"/>
    <s v="RESISTOR,TERMINATING"/>
    <s v="4519488434"/>
    <n v="2"/>
    <s v="Standard"/>
    <s v="X"/>
    <d v="2026-04-21T00:00:00"/>
    <x v="184"/>
    <d v="2026-06-03T00:00:00"/>
    <d v="2026-06-07T00:00:00"/>
    <d v="2026-06-03T00:00:00"/>
    <n v="1"/>
    <n v="1"/>
    <n v="100"/>
    <s v="SEM 24"/>
    <s v="Jun-2026"/>
    <x v="0"/>
    <n v="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43955"/>
    <s v="RESISTOR,TERMINATING"/>
    <s v="4519504267"/>
    <n v="1"/>
    <s v="Standard"/>
    <s v="X"/>
    <d v="2026-04-24T00:00:00"/>
    <x v="35"/>
    <d v="2026-06-03T00:00:00"/>
    <d v="2026-06-10T00:00:00"/>
    <d v="2026-06-03T00:00:00"/>
    <n v="1"/>
    <n v="1"/>
    <n v="100"/>
    <s v="SEM 24"/>
    <s v="Jun-2026"/>
    <x v="0"/>
    <n v="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53285"/>
    <s v="SLEEVE,ADAPTER,SKF O"/>
    <s v="4519217147"/>
    <n v="1"/>
    <s v="Standard"/>
    <s v="X"/>
    <d v="2026-02-19T00:00:00"/>
    <x v="102"/>
    <d v="2026-04-02T00:00:00"/>
    <d v="2026-04-08T00:00:00"/>
    <d v="2026-04-02T00:00:00"/>
    <n v="1"/>
    <n v="1"/>
    <n v="100"/>
    <s v="SEM 15"/>
    <s v="Apr-2026"/>
    <x v="0"/>
    <n v="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53285"/>
    <s v="SLEEVE,ADAPTER,SKF O"/>
    <s v="4519683143"/>
    <n v="1"/>
    <s v="Standard"/>
    <s v="X"/>
    <d v="2026-06-02T00:00:00"/>
    <x v="94"/>
    <d v="2026-07-02T00:00:00"/>
    <d v="2026-07-19T00:00:00"/>
    <d v="2026-07-02T00:00:00"/>
    <n v="1"/>
    <n v="1"/>
    <n v="100"/>
    <s v="SEM 30"/>
    <s v="Jul-2026"/>
    <x v="0"/>
    <n v="1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53285"/>
    <s v="SLEEVE,ADAPTER,SKF O"/>
    <s v="4519979173"/>
    <n v="2"/>
    <s v="Standard"/>
    <s v="#"/>
    <d v="2026-07-31T00:00:00"/>
    <x v="10"/>
    <s v="#"/>
    <d v="2026-09-17T00:00:00"/>
    <d v="2026-07-31T00:00:00"/>
    <n v="1"/>
    <n v="0"/>
    <n v="0"/>
    <s v="SEM 38"/>
    <s v="Sep-2026"/>
    <x v="2"/>
    <n v="3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56216"/>
    <s v="CLIP,PLASTIC,RED,BRA"/>
    <s v="4519127809"/>
    <n v="30"/>
    <s v="Standard"/>
    <s v="X"/>
    <d v="2026-01-31T00:00:00"/>
    <x v="144"/>
    <d v="2026-04-01T00:00:00"/>
    <d v="2026-04-17T00:00:00"/>
    <d v="2026-04-01T00:00:00"/>
    <n v="1"/>
    <n v="1"/>
    <n v="100"/>
    <s v="SEM 16"/>
    <s v="Apr-2026"/>
    <x v="0"/>
    <n v="1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56216"/>
    <s v="CLIP,PLASTIC,RED,BRA"/>
    <s v="4519508621"/>
    <n v="21"/>
    <s v="Standard"/>
    <s v="X"/>
    <d v="2026-04-25T00:00:00"/>
    <x v="175"/>
    <d v="2026-05-20T00:00:00"/>
    <d v="2026-05-12T00:00:00"/>
    <d v="2026-05-20T00:00:00"/>
    <n v="1"/>
    <n v="0"/>
    <n v="0"/>
    <s v="SEM 20"/>
    <s v="May-2026"/>
    <x v="0"/>
    <n v="-8"/>
    <x v="1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56246"/>
    <s v="GUN,DISPENSER,DSC,HI"/>
    <s v="4519163501"/>
    <n v="3"/>
    <s v="Standard"/>
    <s v="X"/>
    <d v="2026-02-08T00:00:00"/>
    <x v="269"/>
    <d v="2026-03-02T00:00:00"/>
    <d v="2026-03-03T00:00:00"/>
    <d v="2026-03-02T00:00:00"/>
    <n v="1"/>
    <n v="1"/>
    <n v="100"/>
    <s v="SEM 10"/>
    <s v="Mar-2026"/>
    <x v="0"/>
    <n v="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56246"/>
    <s v="GUN,DISPENSER,DSC,HI"/>
    <s v="4519399644"/>
    <n v="3"/>
    <s v="Standard"/>
    <s v="X"/>
    <d v="2026-04-01T00:00:00"/>
    <x v="113"/>
    <d v="2026-04-13T00:00:00"/>
    <d v="2026-04-24T00:00:00"/>
    <d v="2026-04-13T00:00:00"/>
    <n v="1"/>
    <n v="1"/>
    <n v="100"/>
    <s v="SEM 17"/>
    <s v="Apr-2026"/>
    <x v="0"/>
    <n v="1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56246"/>
    <s v="GUN,DISPENSER,DSC,HI"/>
    <s v="4519402767"/>
    <n v="2"/>
    <s v="Standard"/>
    <s v="X"/>
    <d v="2026-04-02T00:00:00"/>
    <x v="80"/>
    <d v="2026-04-13T00:00:00"/>
    <d v="2026-04-25T00:00:00"/>
    <d v="2026-04-13T00:00:00"/>
    <n v="1"/>
    <n v="1"/>
    <n v="100"/>
    <s v="SEM 17"/>
    <s v="Apr-2026"/>
    <x v="0"/>
    <n v="1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56246"/>
    <s v="GUN,DISPENSER,DSC,HI"/>
    <s v="4519917450"/>
    <n v="2"/>
    <s v="Standard"/>
    <s v="X"/>
    <d v="2026-07-19T00:00:00"/>
    <x v="9"/>
    <d v="2026-08-03T00:00:00"/>
    <d v="2026-08-11T00:00:00"/>
    <d v="2026-08-03T00:00:00"/>
    <n v="1"/>
    <n v="1"/>
    <n v="100"/>
    <s v="SEM 33"/>
    <s v="Aug-2026"/>
    <x v="0"/>
    <n v="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70594"/>
    <s v="PLUMB,1.1/2 X 3IN,GE"/>
    <s v="4518954868"/>
    <n v="100"/>
    <s v="Standard"/>
    <s v="X"/>
    <d v="2025-12-18T00:00:00"/>
    <x v="42"/>
    <d v="2026-01-08T00:00:00"/>
    <d v="2026-01-11T00:00:00"/>
    <d v="2026-01-08T00:00:00"/>
    <n v="1"/>
    <n v="1"/>
    <n v="100"/>
    <s v="SEM 3"/>
    <s v="Jan-2026"/>
    <x v="0"/>
    <n v="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70594"/>
    <s v="PLUMB,1.1/2 X 3IN,GE"/>
    <s v="4518963032"/>
    <n v="20"/>
    <s v="Standard"/>
    <s v="X"/>
    <d v="2025-12-21T00:00:00"/>
    <x v="169"/>
    <d v="2026-01-09T00:00:00"/>
    <d v="2026-01-13T00:00:00"/>
    <d v="2026-01-09T00:00:00"/>
    <n v="1"/>
    <n v="1"/>
    <n v="100"/>
    <s v="SEM 3"/>
    <s v="Jan-2026"/>
    <x v="0"/>
    <n v="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70594"/>
    <s v="PLUMB,1.1/2 X 3IN,GE"/>
    <s v="4519084867"/>
    <n v="71"/>
    <s v="Standard"/>
    <s v="X"/>
    <d v="2026-01-20T00:00:00"/>
    <x v="58"/>
    <d v="2026-02-03T00:00:00"/>
    <d v="2026-02-13T00:00:00"/>
    <d v="2026-02-03T00:00:00"/>
    <n v="1"/>
    <n v="1"/>
    <n v="100"/>
    <s v="SEM 7"/>
    <s v="Feb-2026"/>
    <x v="0"/>
    <n v="1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70594"/>
    <s v="PLUMB,1.1/2 X 3IN,GE"/>
    <s v="4519117495"/>
    <n v="100"/>
    <s v="Standard"/>
    <s v="X"/>
    <d v="2026-01-28T00:00:00"/>
    <x v="158"/>
    <d v="2026-02-27T00:00:00"/>
    <d v="2026-02-21T00:00:00"/>
    <d v="2026-02-27T00:00:00"/>
    <n v="1"/>
    <n v="0"/>
    <n v="0"/>
    <s v="SEM 8"/>
    <s v="Feb-2026"/>
    <x v="0"/>
    <n v="-6"/>
    <x v="1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70594"/>
    <s v="PLUMB,1.1/2 X 3IN,GE"/>
    <s v="4519494798"/>
    <n v="31"/>
    <s v="Standard"/>
    <s v="X"/>
    <d v="2026-04-22T00:00:00"/>
    <x v="193"/>
    <d v="2026-05-14T00:00:00"/>
    <d v="2026-05-16T00:00:00"/>
    <d v="2026-05-14T00:00:00"/>
    <n v="1"/>
    <n v="1"/>
    <n v="100"/>
    <s v="SEM 20"/>
    <s v="May-2026"/>
    <x v="0"/>
    <n v="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70594"/>
    <s v="PLUMB,1.1/2 X 3IN,GE"/>
    <s v="4519543854"/>
    <n v="100"/>
    <s v="Standard"/>
    <s v="X"/>
    <d v="2026-05-04T00:00:00"/>
    <x v="229"/>
    <d v="2026-05-18T00:00:00"/>
    <d v="2026-05-27T00:00:00"/>
    <d v="2026-05-18T00:00:00"/>
    <n v="1"/>
    <n v="1"/>
    <n v="100"/>
    <s v="SEM 22"/>
    <s v="May-2026"/>
    <x v="0"/>
    <n v="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70594"/>
    <s v="PLUMB,1.1/2 X 3IN,GE"/>
    <s v="4519629525"/>
    <n v="26"/>
    <s v="Standard"/>
    <s v="X"/>
    <d v="2026-05-20T00:00:00"/>
    <x v="135"/>
    <d v="2026-06-08T00:00:00"/>
    <d v="2026-06-13T00:00:00"/>
    <d v="2026-06-08T00:00:00"/>
    <n v="1"/>
    <n v="1"/>
    <n v="100"/>
    <s v="SEM 24"/>
    <s v="Jun-2026"/>
    <x v="0"/>
    <n v="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70594"/>
    <s v="PLUMB,1.1/2 X 3IN,GE"/>
    <s v="4519657926"/>
    <n v="100"/>
    <s v="Standard"/>
    <s v="X"/>
    <d v="2026-05-26T00:00:00"/>
    <x v="154"/>
    <d v="2026-06-12T00:00:00"/>
    <d v="2026-06-19T00:00:00"/>
    <d v="2026-06-12T00:00:00"/>
    <n v="1"/>
    <n v="1"/>
    <n v="100"/>
    <s v="SEM 25"/>
    <s v="Jun-2026"/>
    <x v="0"/>
    <n v="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70594"/>
    <s v="PLUMB,1.1/2 X 3IN,GE"/>
    <s v="4519811861"/>
    <n v="50"/>
    <s v="Standard"/>
    <s v="X"/>
    <d v="2026-06-27T00:00:00"/>
    <x v="270"/>
    <d v="2026-07-21T00:00:00"/>
    <d v="2026-07-21T00:00:00"/>
    <d v="2026-07-21T00:00:00"/>
    <n v="1"/>
    <n v="1"/>
    <n v="100"/>
    <s v="SEM 30"/>
    <s v="Jul-2026"/>
    <x v="0"/>
    <n v="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70594"/>
    <s v="PLUMB,1.1/2 X 3IN,GE"/>
    <s v="4519906911"/>
    <n v="30"/>
    <s v="Standard"/>
    <s v="X"/>
    <d v="2026-07-16T00:00:00"/>
    <x v="75"/>
    <d v="2026-08-05T00:00:00"/>
    <d v="2026-08-09T00:00:00"/>
    <d v="2026-08-05T00:00:00"/>
    <n v="1"/>
    <n v="1"/>
    <n v="100"/>
    <s v="SEM 33"/>
    <s v="Aug-2026"/>
    <x v="0"/>
    <n v="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70594"/>
    <s v="PLUMB,1.1/2 X 3IN,GE"/>
    <s v="4519914749"/>
    <n v="54"/>
    <s v="Standard"/>
    <s v="X"/>
    <d v="2026-07-18T00:00:00"/>
    <x v="9"/>
    <d v="2026-08-05T00:00:00"/>
    <d v="2026-08-11T00:00:00"/>
    <d v="2026-08-05T00:00:00"/>
    <n v="1"/>
    <n v="1"/>
    <n v="100"/>
    <s v="SEM 33"/>
    <s v="Aug-2026"/>
    <x v="0"/>
    <n v="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70594"/>
    <s v="PLUMB,1.1/2 X 3IN,GE"/>
    <s v="4519975344"/>
    <n v="15"/>
    <s v="Standard"/>
    <s v="X"/>
    <d v="2026-07-31T00:00:00"/>
    <x v="104"/>
    <d v="2026-08-12T00:00:00"/>
    <d v="2026-08-23T00:00:00"/>
    <d v="2026-08-12T00:00:00"/>
    <n v="1"/>
    <n v="1"/>
    <n v="100"/>
    <s v="SEM 35"/>
    <s v="Aug-2026"/>
    <x v="0"/>
    <n v="1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70594"/>
    <s v="PLUMB,1.1/2 X 3IN,GE"/>
    <s v="4520020176"/>
    <n v="97"/>
    <s v="Standard"/>
    <s v="#"/>
    <d v="2026-08-10T00:00:00"/>
    <x v="179"/>
    <s v="#"/>
    <d v="2026-09-02T00:00:00"/>
    <d v="2026-08-10T00:00:00"/>
    <n v="1"/>
    <n v="0"/>
    <n v="0"/>
    <s v="SEM 36"/>
    <s v="Sep-2026"/>
    <x v="2"/>
    <n v="1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89670"/>
    <s v="PLUG,PATTON&amp;C ST065"/>
    <s v="4519066641"/>
    <n v="4"/>
    <s v="Standard"/>
    <s v="X"/>
    <d v="2026-01-16T00:00:00"/>
    <x v="113"/>
    <d v="2026-04-01T00:00:00"/>
    <d v="2026-04-24T00:00:00"/>
    <d v="2026-04-01T00:00:00"/>
    <n v="1"/>
    <n v="1"/>
    <n v="100"/>
    <s v="SEM 17"/>
    <s v="Apr-2026"/>
    <x v="0"/>
    <n v="2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89670"/>
    <s v="PLUG,PATTON&amp;C ST065"/>
    <s v="4519096185"/>
    <n v="4"/>
    <s v="Standard"/>
    <s v="X"/>
    <d v="2026-01-23T00:00:00"/>
    <x v="226"/>
    <d v="2026-04-01T00:00:00"/>
    <d v="2026-05-01T00:00:00"/>
    <d v="2026-04-01T00:00:00"/>
    <n v="1"/>
    <n v="1"/>
    <n v="100"/>
    <s v="SEM 18"/>
    <s v="May-2026"/>
    <x v="0"/>
    <n v="3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89670"/>
    <s v="PLUG,PATTON&amp;C ST065"/>
    <s v="4519119015"/>
    <n v="4"/>
    <s v="Standard"/>
    <s v="X"/>
    <d v="2026-01-29T00:00:00"/>
    <x v="114"/>
    <d v="2026-05-04T00:00:00"/>
    <d v="2026-05-07T00:00:00"/>
    <d v="2026-05-04T00:00:00"/>
    <n v="1"/>
    <n v="1"/>
    <n v="100"/>
    <s v="SEM 19"/>
    <s v="May-2026"/>
    <x v="0"/>
    <n v="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89670"/>
    <s v="PLUG,PATTON&amp;C ST065"/>
    <s v="4519150016"/>
    <n v="4"/>
    <s v="Standard"/>
    <s v="X"/>
    <d v="2026-02-05T00:00:00"/>
    <x v="24"/>
    <d v="2026-05-08T00:00:00"/>
    <d v="2026-05-14T00:00:00"/>
    <d v="2026-05-08T00:00:00"/>
    <n v="1"/>
    <n v="1"/>
    <n v="100"/>
    <s v="SEM 20"/>
    <s v="May-2026"/>
    <x v="0"/>
    <n v="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89670"/>
    <s v="PLUG,PATTON&amp;C ST065"/>
    <s v="4519181600"/>
    <n v="4"/>
    <s v="Standard"/>
    <s v="X"/>
    <d v="2026-02-12T00:00:00"/>
    <x v="234"/>
    <d v="2026-05-20T00:00:00"/>
    <d v="2026-05-21T00:00:00"/>
    <d v="2026-05-20T00:00:00"/>
    <n v="1"/>
    <n v="1"/>
    <n v="100"/>
    <s v="SEM 21"/>
    <s v="May-2026"/>
    <x v="0"/>
    <n v="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89670"/>
    <s v="PLUG,PATTON&amp;C ST065"/>
    <s v="4519212479"/>
    <n v="4"/>
    <s v="Standard"/>
    <s v="X"/>
    <d v="2026-02-19T00:00:00"/>
    <x v="156"/>
    <d v="2026-05-20T00:00:00"/>
    <d v="2026-05-28T00:00:00"/>
    <d v="2026-05-20T00:00:00"/>
    <n v="1"/>
    <n v="1"/>
    <n v="100"/>
    <s v="SEM 22"/>
    <s v="May-2026"/>
    <x v="0"/>
    <n v="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489670"/>
    <s v="PLUG,PATTON&amp;C ST065"/>
    <s v="4519529591"/>
    <n v="32"/>
    <s v="Standard"/>
    <s v="X"/>
    <d v="2026-04-30T00:00:00"/>
    <x v="61"/>
    <d v="2026-06-30T00:00:00"/>
    <d v="2026-08-05T00:00:00"/>
    <d v="2026-06-30T00:00:00"/>
    <n v="1"/>
    <n v="1"/>
    <n v="100"/>
    <s v="SEM 32"/>
    <s v="Aug-2026"/>
    <x v="0"/>
    <n v="3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829564"/>
    <s v="BUOY,MARKER,PH,110 T"/>
    <s v="4518980628"/>
    <n v="10"/>
    <s v="Standard"/>
    <s v="X"/>
    <d v="2025-12-25T00:00:00"/>
    <x v="271"/>
    <d v="2026-01-06T00:00:00"/>
    <d v="2026-01-07T00:00:00"/>
    <d v="2026-01-06T00:00:00"/>
    <n v="1"/>
    <n v="1"/>
    <n v="100"/>
    <s v="SEM 2"/>
    <s v="Jan-2026"/>
    <x v="0"/>
    <n v="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829564"/>
    <s v="BUOY,MARKER,PH,110 T"/>
    <s v="4518988321"/>
    <n v="6"/>
    <s v="Standard"/>
    <s v="X"/>
    <d v="2025-12-28T00:00:00"/>
    <x v="190"/>
    <d v="2026-01-09T00:00:00"/>
    <d v="2026-01-10T00:00:00"/>
    <d v="2026-01-09T00:00:00"/>
    <n v="1"/>
    <n v="1"/>
    <n v="100"/>
    <s v="SEM 2"/>
    <s v="Jan-2026"/>
    <x v="0"/>
    <n v="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829564"/>
    <s v="BUOY,MARKER,PH,110 T"/>
    <s v="4519034327"/>
    <n v="6"/>
    <s v="Standard"/>
    <s v="X"/>
    <d v="2026-01-08T00:00:00"/>
    <x v="236"/>
    <d v="2026-01-15T00:00:00"/>
    <d v="2026-01-21T00:00:00"/>
    <d v="2026-01-15T00:00:00"/>
    <n v="1"/>
    <n v="1"/>
    <n v="100"/>
    <s v="SEM 4"/>
    <s v="Jan-2026"/>
    <x v="0"/>
    <n v="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829564"/>
    <s v="BUOY,MARKER,PH,110 T"/>
    <s v="4519102768"/>
    <n v="6"/>
    <s v="Standard"/>
    <s v="X"/>
    <d v="2026-01-25T00:00:00"/>
    <x v="248"/>
    <d v="2026-02-06T00:00:00"/>
    <d v="2026-02-07T00:00:00"/>
    <d v="2026-02-06T00:00:00"/>
    <n v="1"/>
    <n v="1"/>
    <n v="100"/>
    <s v="SEM 6"/>
    <s v="Feb-2026"/>
    <x v="0"/>
    <n v="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829564"/>
    <s v="BUOY,MARKER,PH,110 T"/>
    <s v="4519216028"/>
    <n v="6"/>
    <s v="Standard"/>
    <s v="X"/>
    <d v="2026-02-19T00:00:00"/>
    <x v="4"/>
    <d v="2026-03-02T00:00:00"/>
    <d v="2026-03-04T00:00:00"/>
    <d v="2026-03-02T00:00:00"/>
    <n v="1"/>
    <n v="1"/>
    <n v="100"/>
    <s v="SEM 10"/>
    <s v="Mar-2026"/>
    <x v="0"/>
    <n v="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829564"/>
    <s v="BUOY,MARKER,PH,110 T"/>
    <s v="4519524013"/>
    <n v="9"/>
    <s v="Standard"/>
    <s v="X"/>
    <d v="2026-04-29T00:00:00"/>
    <x v="125"/>
    <d v="2026-05-08T00:00:00"/>
    <d v="2026-05-11T00:00:00"/>
    <d v="2026-05-08T00:00:00"/>
    <n v="1"/>
    <n v="1"/>
    <n v="100"/>
    <s v="SEM 20"/>
    <s v="May-2026"/>
    <x v="0"/>
    <n v="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829564"/>
    <s v="BUOY,MARKER,PH,110 T"/>
    <s v="4519539091"/>
    <n v="6"/>
    <s v="Standard"/>
    <s v="X"/>
    <d v="2026-05-02T00:00:00"/>
    <x v="257"/>
    <d v="2026-05-11T00:00:00"/>
    <d v="2026-05-15T00:00:00"/>
    <d v="2026-05-11T00:00:00"/>
    <n v="1"/>
    <n v="1"/>
    <n v="100"/>
    <s v="SEM 20"/>
    <s v="May-2026"/>
    <x v="0"/>
    <n v="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829564"/>
    <s v="BUOY,MARKER,PH,110 T"/>
    <s v="4519739098"/>
    <n v="6"/>
    <s v="Standard"/>
    <s v="X"/>
    <d v="2026-06-12T00:00:00"/>
    <x v="74"/>
    <d v="2026-06-23T00:00:00"/>
    <d v="2026-06-25T00:00:00"/>
    <d v="2026-06-23T00:00:00"/>
    <n v="1"/>
    <n v="1"/>
    <n v="100"/>
    <s v="SEM 26"/>
    <s v="Jun-2026"/>
    <x v="0"/>
    <n v="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864458"/>
    <s v="BAG,TOOL,210 X 280MM"/>
    <s v="4518981018"/>
    <n v="7"/>
    <s v="Standard"/>
    <s v="X"/>
    <d v="2025-12-25T00:00:00"/>
    <x v="15"/>
    <d v="2026-01-08T00:00:00"/>
    <d v="2026-01-17T00:00:00"/>
    <d v="2026-01-08T00:00:00"/>
    <n v="1"/>
    <n v="1"/>
    <n v="100"/>
    <s v="SEM 3"/>
    <s v="Jan-2026"/>
    <x v="0"/>
    <n v="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864458"/>
    <s v="BAG,TOOL,210 X 280MM"/>
    <s v="4519001104"/>
    <n v="4"/>
    <s v="Standard"/>
    <s v="X"/>
    <d v="2025-12-31T00:00:00"/>
    <x v="44"/>
    <d v="2026-01-09T00:00:00"/>
    <d v="2026-01-23T00:00:00"/>
    <d v="2026-01-09T00:00:00"/>
    <n v="1"/>
    <n v="1"/>
    <n v="100"/>
    <s v="SEM 4"/>
    <s v="Jan-2026"/>
    <x v="0"/>
    <n v="1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864458"/>
    <s v="BAG,TOOL,210 X 280MM"/>
    <s v="4519006111"/>
    <n v="10"/>
    <s v="Standard"/>
    <s v="X"/>
    <d v="2026-01-02T00:00:00"/>
    <x v="247"/>
    <d v="2026-01-09T00:00:00"/>
    <d v="2026-01-25T00:00:00"/>
    <d v="2026-01-09T00:00:00"/>
    <n v="1"/>
    <n v="1"/>
    <n v="100"/>
    <s v="SEM 5"/>
    <s v="Jan-2026"/>
    <x v="0"/>
    <n v="1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864458"/>
    <s v="BAG,TOOL,210 X 280MM"/>
    <s v="4519021857"/>
    <n v="16"/>
    <s v="Standard"/>
    <s v="X"/>
    <d v="2026-01-06T00:00:00"/>
    <x v="187"/>
    <d v="2026-01-13T00:00:00"/>
    <d v="2026-01-28T00:00:00"/>
    <d v="2026-01-13T00:00:00"/>
    <n v="1"/>
    <n v="1"/>
    <n v="100"/>
    <s v="SEM 5"/>
    <s v="Jan-2026"/>
    <x v="0"/>
    <n v="1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864458"/>
    <s v="BAG,TOOL,210 X 280MM"/>
    <s v="4519051159"/>
    <n v="20"/>
    <s v="Standard"/>
    <s v="X"/>
    <d v="2026-01-12T00:00:00"/>
    <x v="85"/>
    <d v="2026-02-03T00:00:00"/>
    <d v="2026-02-04T00:00:00"/>
    <d v="2026-02-03T00:00:00"/>
    <n v="1"/>
    <n v="1"/>
    <n v="100"/>
    <s v="SEM 6"/>
    <s v="Feb-2026"/>
    <x v="0"/>
    <n v="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864458"/>
    <s v="BAG,TOOL,210 X 280MM"/>
    <s v="4519108081"/>
    <n v="20"/>
    <s v="Standard"/>
    <s v="X"/>
    <d v="2026-01-27T00:00:00"/>
    <x v="191"/>
    <d v="2026-02-04T00:00:00"/>
    <d v="2026-02-18T00:00:00"/>
    <d v="2026-02-04T00:00:00"/>
    <n v="1"/>
    <n v="1"/>
    <n v="100"/>
    <s v="SEM 8"/>
    <s v="Feb-2026"/>
    <x v="0"/>
    <n v="1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864458"/>
    <s v="BAG,TOOL,210 X 280MM"/>
    <s v="4519137899"/>
    <n v="10"/>
    <s v="Standard"/>
    <s v="X"/>
    <d v="2026-02-02T00:00:00"/>
    <x v="72"/>
    <d v="2026-02-10T00:00:00"/>
    <d v="2026-02-25T00:00:00"/>
    <d v="2026-02-10T00:00:00"/>
    <n v="1"/>
    <n v="1"/>
    <n v="100"/>
    <s v="SEM 9"/>
    <s v="Feb-2026"/>
    <x v="0"/>
    <n v="1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864458"/>
    <s v="BAG,TOOL,210 X 280MM"/>
    <s v="4519826266"/>
    <n v="14"/>
    <s v="Standard"/>
    <s v="X"/>
    <d v="2026-06-30T00:00:00"/>
    <x v="272"/>
    <d v="2026-07-13T00:00:00"/>
    <d v="2026-07-23T00:00:00"/>
    <d v="2026-07-13T00:00:00"/>
    <n v="1"/>
    <n v="1"/>
    <n v="100"/>
    <s v="SEM 30"/>
    <s v="Jul-2026"/>
    <x v="0"/>
    <n v="1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0926739"/>
    <s v="CHEMICAL AGENT,DRY,A"/>
    <s v="4519381065"/>
    <n v="648"/>
    <s v="Standard"/>
    <s v="X"/>
    <d v="2026-03-28T00:00:00"/>
    <x v="65"/>
    <d v="2026-05-04T00:00:00"/>
    <d v="2026-05-20T00:00:00"/>
    <d v="2026-05-04T00:00:00"/>
    <n v="1"/>
    <n v="1"/>
    <n v="100"/>
    <s v="SEM 21"/>
    <s v="May-2026"/>
    <x v="0"/>
    <n v="1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071896"/>
    <s v="REFRIGERANT,R410A,HF"/>
    <s v="4519007991"/>
    <n v="6"/>
    <s v="Standard"/>
    <s v="X"/>
    <d v="2026-01-02T00:00:00"/>
    <x v="247"/>
    <d v="2026-01-13T00:00:00"/>
    <d v="2026-01-25T00:00:00"/>
    <d v="2026-01-22T00:00:00"/>
    <n v="1"/>
    <n v="1"/>
    <n v="100"/>
    <s v="SEM 5"/>
    <s v="Jan-2026"/>
    <x v="0"/>
    <n v="1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071896"/>
    <s v="REFRIGERANT,R410A,HF"/>
    <s v="4519078858"/>
    <n v="1"/>
    <s v="Standard"/>
    <s v="X"/>
    <d v="2026-01-19T00:00:00"/>
    <x v="99"/>
    <d v="2026-02-03T00:00:00"/>
    <d v="2026-02-10T00:00:00"/>
    <d v="2026-02-03T00:00:00"/>
    <n v="1"/>
    <n v="1"/>
    <n v="100"/>
    <s v="SEM 7"/>
    <s v="Feb-2026"/>
    <x v="0"/>
    <n v="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071896"/>
    <s v="REFRIGERANT,R410A,HF"/>
    <s v="4519307721"/>
    <n v="11"/>
    <s v="Standard"/>
    <s v="X"/>
    <d v="2026-03-12T00:00:00"/>
    <x v="152"/>
    <d v="2026-03-17T00:00:00"/>
    <d v="2026-04-04T00:00:00"/>
    <d v="2026-03-17T00:00:00"/>
    <n v="1"/>
    <n v="1"/>
    <n v="100"/>
    <s v="SEM 14"/>
    <s v="Apr-2026"/>
    <x v="0"/>
    <n v="1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071896"/>
    <s v="REFRIGERANT,R410A,HF"/>
    <s v="4519553302"/>
    <n v="4"/>
    <s v="Standard"/>
    <s v="X"/>
    <d v="2026-05-05T00:00:00"/>
    <x v="156"/>
    <d v="2026-05-18T00:00:00"/>
    <d v="2026-05-28T00:00:00"/>
    <d v="2026-05-18T00:00:00"/>
    <n v="1"/>
    <n v="1"/>
    <n v="100"/>
    <s v="SEM 22"/>
    <s v="May-2026"/>
    <x v="0"/>
    <n v="1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071896"/>
    <s v="REFRIGERANT,R410A,HF"/>
    <s v="4519772724"/>
    <n v="6"/>
    <s v="Standard"/>
    <s v="X"/>
    <d v="2026-06-19T00:00:00"/>
    <x v="237"/>
    <d v="2026-07-03T00:00:00"/>
    <d v="2026-07-12T00:00:00"/>
    <d v="2026-07-03T00:00:00"/>
    <n v="1"/>
    <n v="1"/>
    <n v="100"/>
    <s v="SEM 29"/>
    <s v="Jul-2026"/>
    <x v="0"/>
    <n v="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071896"/>
    <s v="REFRIGERANT,R410A,HF"/>
    <s v="4520046723"/>
    <n v="6"/>
    <s v="Standard"/>
    <s v="#"/>
    <d v="2026-08-14T00:00:00"/>
    <x v="137"/>
    <s v="#"/>
    <d v="2026-09-06T00:00:00"/>
    <d v="2026-08-14T00:00:00"/>
    <n v="1"/>
    <n v="0"/>
    <n v="0"/>
    <s v="SEM 37"/>
    <s v="Sep-2026"/>
    <x v="2"/>
    <n v="1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092520"/>
    <s v="SHIM,TMAS,SS,GDE 304"/>
    <s v="4519388495"/>
    <n v="1"/>
    <s v="Standard"/>
    <s v="X"/>
    <d v="2026-03-30T00:00:00"/>
    <x v="257"/>
    <d v="2026-05-08T00:00:00"/>
    <d v="2026-05-15T00:00:00"/>
    <d v="2026-05-08T00:00:00"/>
    <n v="1"/>
    <n v="1"/>
    <n v="100"/>
    <s v="SEM 20"/>
    <s v="May-2026"/>
    <x v="0"/>
    <n v="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092520"/>
    <s v="SHIM,TMAS,SS,GDE 304"/>
    <s v="4519880183"/>
    <n v="10"/>
    <s v="Standard"/>
    <s v="#"/>
    <d v="2026-07-10T00:00:00"/>
    <x v="9"/>
    <s v="#"/>
    <d v="2026-08-11T00:00:00"/>
    <d v="2026-07-20T00:00:00"/>
    <n v="1"/>
    <n v="0"/>
    <n v="0"/>
    <s v="SEM 33"/>
    <s v="Aug-2026"/>
    <x v="2"/>
    <n v="-7"/>
    <x v="1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116783"/>
    <s v="MODULE,E FAULT,SIEME"/>
    <s v="4519020069"/>
    <n v="1"/>
    <s v="Standard"/>
    <s v="X"/>
    <d v="2026-01-05T00:00:00"/>
    <x v="158"/>
    <d v="2026-02-02T00:00:00"/>
    <d v="2026-02-21T00:00:00"/>
    <d v="2026-02-02T00:00:00"/>
    <n v="1"/>
    <n v="1"/>
    <n v="100"/>
    <s v="SEM 8"/>
    <s v="Feb-2026"/>
    <x v="0"/>
    <n v="1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116783"/>
    <s v="MODULE,E FAULT,SIEME"/>
    <s v="4519065724"/>
    <n v="1"/>
    <s v="Standard"/>
    <s v="X"/>
    <d v="2026-01-15T00:00:00"/>
    <x v="4"/>
    <d v="2026-03-02T00:00:00"/>
    <d v="2026-03-04T00:00:00"/>
    <d v="2026-03-02T00:00:00"/>
    <n v="1"/>
    <n v="1"/>
    <n v="100"/>
    <s v="SEM 10"/>
    <s v="Mar-2026"/>
    <x v="0"/>
    <n v="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116783"/>
    <s v="MODULE,E FAULT,SIEME"/>
    <s v="4519178964"/>
    <n v="1"/>
    <s v="Standard"/>
    <s v="X"/>
    <d v="2026-02-11T00:00:00"/>
    <x v="241"/>
    <d v="2026-03-30T00:00:00"/>
    <d v="2026-03-30T00:00:00"/>
    <d v="2026-03-30T00:00:00"/>
    <n v="1"/>
    <n v="1"/>
    <n v="100"/>
    <s v="SEM 14"/>
    <s v="Mar-2026"/>
    <x v="0"/>
    <n v="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143977"/>
    <s v="CLAMP,140MM,FACOM 51"/>
    <s v="4519003875"/>
    <n v="3"/>
    <s v="Standard"/>
    <s v="X"/>
    <d v="2026-01-01T00:00:00"/>
    <x v="87"/>
    <d v="2026-02-02T00:00:00"/>
    <d v="2026-02-23T00:00:00"/>
    <d v="2026-02-02T00:00:00"/>
    <n v="1"/>
    <n v="1"/>
    <n v="100"/>
    <s v="SEM 9"/>
    <s v="Feb-2026"/>
    <x v="0"/>
    <n v="2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143977"/>
    <s v="CLAMP,140MM,FACOM 51"/>
    <s v="4519341858"/>
    <n v="3"/>
    <s v="Standard"/>
    <s v="X"/>
    <d v="2026-03-19T00:00:00"/>
    <x v="125"/>
    <d v="2026-05-04T00:00:00"/>
    <d v="2026-05-11T00:00:00"/>
    <d v="2026-05-04T00:00:00"/>
    <n v="1"/>
    <n v="1"/>
    <n v="100"/>
    <s v="SEM 20"/>
    <s v="May-2026"/>
    <x v="0"/>
    <n v="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143977"/>
    <s v="CLAMP,140MM,FACOM 51"/>
    <s v="4519701173"/>
    <n v="2"/>
    <s v="Standard"/>
    <s v="X"/>
    <d v="2026-06-04T00:00:00"/>
    <x v="273"/>
    <d v="2026-07-01T00:00:00"/>
    <d v="2026-07-27T00:00:00"/>
    <d v="2026-07-01T00:00:00"/>
    <n v="1"/>
    <n v="1"/>
    <n v="100"/>
    <s v="SEM 31"/>
    <s v="Jul-2026"/>
    <x v="0"/>
    <n v="2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143977"/>
    <s v="CLAMP,140MM,FACOM 51"/>
    <s v="4519768239"/>
    <n v="2"/>
    <s v="Standard"/>
    <s v="X"/>
    <d v="2026-06-18T00:00:00"/>
    <x v="142"/>
    <d v="2026-08-03T00:00:00"/>
    <d v="2026-08-10T00:00:00"/>
    <d v="2026-08-03T00:00:00"/>
    <n v="1"/>
    <n v="1"/>
    <n v="100"/>
    <s v="SEM 33"/>
    <s v="Aug-2026"/>
    <x v="0"/>
    <n v="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143977"/>
    <s v="CLAMP,140MM,FACOM 51"/>
    <s v="4519870303"/>
    <n v="2"/>
    <s v="Standard"/>
    <s v="X"/>
    <d v="2026-07-08T00:00:00"/>
    <x v="128"/>
    <d v="2026-08-03T00:00:00"/>
    <d v="2026-08-30T00:00:00"/>
    <d v="2026-08-03T00:00:00"/>
    <n v="1"/>
    <n v="1"/>
    <n v="100"/>
    <s v="SEM 36"/>
    <s v="Aug-2026"/>
    <x v="0"/>
    <n v="2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143977"/>
    <s v="CLAMP,140MM,FACOM 51"/>
    <s v="4519888857"/>
    <n v="2"/>
    <s v="Standard"/>
    <s v="#"/>
    <d v="2026-07-13T00:00:00"/>
    <x v="235"/>
    <s v="#"/>
    <d v="2026-09-04T00:00:00"/>
    <d v="2026-07-13T00:00:00"/>
    <n v="1"/>
    <n v="0"/>
    <n v="0"/>
    <s v="SEM 36"/>
    <s v="Sep-2026"/>
    <x v="2"/>
    <n v="1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143977"/>
    <s v="CLAMP,140MM,FACOM 51"/>
    <s v="4519942519"/>
    <n v="2"/>
    <s v="Standard"/>
    <s v="#"/>
    <d v="2026-07-23T00:00:00"/>
    <x v="213"/>
    <s v="#"/>
    <d v="2026-09-14T00:00:00"/>
    <d v="2026-07-23T00:00:00"/>
    <n v="1"/>
    <n v="0"/>
    <n v="0"/>
    <s v="SEM 38"/>
    <s v="Sep-2026"/>
    <x v="2"/>
    <n v="2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153812"/>
    <s v="KIT,AIR,1.5 TO 2IN,W"/>
    <s v="4519682841"/>
    <n v="1"/>
    <s v="Standard"/>
    <s v="X"/>
    <d v="2026-06-01T00:00:00"/>
    <x v="136"/>
    <d v="2026-07-13T00:00:00"/>
    <d v="2026-07-29T00:00:00"/>
    <d v="2026-07-13T00:00:00"/>
    <n v="1"/>
    <n v="1"/>
    <n v="100"/>
    <s v="SEM 31"/>
    <s v="Jul-2026"/>
    <x v="0"/>
    <n v="1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158837"/>
    <s v="ADAPTER,TOOL,WELL DR"/>
    <s v="4519069479"/>
    <n v="6"/>
    <s v="Standard"/>
    <s v="X"/>
    <d v="2026-01-16T00:00:00"/>
    <x v="58"/>
    <d v="2026-02-04T00:00:00"/>
    <d v="2026-02-13T00:00:00"/>
    <d v="2026-02-04T00:00:00"/>
    <n v="1"/>
    <n v="1"/>
    <n v="100"/>
    <s v="SEM 7"/>
    <s v="Feb-2026"/>
    <x v="0"/>
    <n v="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158837"/>
    <s v="ADAPTER,TOOL,WELL DR"/>
    <s v="4519138590"/>
    <n v="3"/>
    <s v="Standard"/>
    <s v="X"/>
    <d v="2026-02-03T00:00:00"/>
    <x v="45"/>
    <d v="2026-03-02T00:00:00"/>
    <d v="2026-03-02T00:00:00"/>
    <d v="2026-03-02T00:00:00"/>
    <n v="1"/>
    <n v="1"/>
    <n v="100"/>
    <s v="SEM 10"/>
    <s v="Mar-2026"/>
    <x v="0"/>
    <n v="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158837"/>
    <s v="ADAPTER,TOOL,WELL DR"/>
    <s v="4519561454"/>
    <n v="8"/>
    <s v="Standard"/>
    <s v="X"/>
    <d v="2026-05-06T00:00:00"/>
    <x v="17"/>
    <d v="2026-06-01T00:00:00"/>
    <d v="2026-06-03T00:00:00"/>
    <d v="2026-06-01T00:00:00"/>
    <n v="1"/>
    <n v="1"/>
    <n v="100"/>
    <s v="SEM 23"/>
    <s v="Jun-2026"/>
    <x v="0"/>
    <n v="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158837"/>
    <s v="ADAPTER,TOOL,WELL DR"/>
    <s v="4519682060"/>
    <n v="3"/>
    <s v="Standard"/>
    <s v="X"/>
    <d v="2026-06-01T00:00:00"/>
    <x v="274"/>
    <d v="2026-06-16T00:00:00"/>
    <d v="2026-06-29T00:00:00"/>
    <d v="2026-06-16T00:00:00"/>
    <n v="1"/>
    <n v="1"/>
    <n v="100"/>
    <s v="SEM 27"/>
    <s v="Jun-2026"/>
    <x v="0"/>
    <n v="1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158837"/>
    <s v="ADAPTER,TOOL,WELL DR"/>
    <s v="4519858462"/>
    <n v="6"/>
    <s v="Standard"/>
    <s v="X"/>
    <d v="2026-07-06T00:00:00"/>
    <x v="30"/>
    <d v="2026-08-03T00:00:00"/>
    <d v="2026-08-03T00:00:00"/>
    <d v="2026-08-03T00:00:00"/>
    <n v="1"/>
    <n v="1"/>
    <n v="100"/>
    <s v="SEM 32"/>
    <s v="Aug-2026"/>
    <x v="0"/>
    <n v="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214025"/>
    <s v="ADHESIVE,VINYL,YLW,A"/>
    <s v="4519331783"/>
    <n v="1"/>
    <s v="Standard"/>
    <s v="X"/>
    <d v="2026-03-17T00:00:00"/>
    <x v="275"/>
    <d v="2026-05-04T00:00:00"/>
    <d v="2026-05-04T00:00:00"/>
    <d v="2026-05-04T00:00:00"/>
    <n v="1"/>
    <n v="1"/>
    <n v="100"/>
    <s v="SEM 19"/>
    <s v="May-2026"/>
    <x v="0"/>
    <n v="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09932"/>
    <s v="KEY SET,SKT HD,ALLEN"/>
    <s v="4519191780"/>
    <n v="1"/>
    <s v="Standard"/>
    <s v="X"/>
    <d v="2026-02-14T00:00:00"/>
    <x v="89"/>
    <d v="2026-03-05T00:00:00"/>
    <d v="2026-03-14T00:00:00"/>
    <d v="2026-03-05T00:00:00"/>
    <n v="1"/>
    <n v="1"/>
    <n v="100"/>
    <s v="SEM 11"/>
    <s v="Mar-2026"/>
    <x v="0"/>
    <n v="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8981019"/>
    <n v="3"/>
    <s v="Standard"/>
    <s v="X"/>
    <d v="2025-12-25T00:00:00"/>
    <x v="15"/>
    <d v="2026-01-06T00:00:00"/>
    <d v="2026-01-17T00:00:00"/>
    <d v="2026-01-06T00:00:00"/>
    <n v="1"/>
    <n v="1"/>
    <n v="100"/>
    <s v="SEM 3"/>
    <s v="Jan-2026"/>
    <x v="0"/>
    <n v="1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8982279"/>
    <n v="1"/>
    <s v="Standard"/>
    <s v="X"/>
    <d v="2025-12-26T00:00:00"/>
    <x v="276"/>
    <d v="2026-01-06T00:00:00"/>
    <d v="2026-01-18T00:00:00"/>
    <d v="2026-01-06T00:00:00"/>
    <n v="1"/>
    <n v="1"/>
    <n v="100"/>
    <s v="SEM 4"/>
    <s v="Jan-2026"/>
    <x v="0"/>
    <n v="1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8988770"/>
    <n v="1"/>
    <s v="Standard"/>
    <s v="X"/>
    <d v="2025-12-28T00:00:00"/>
    <x v="76"/>
    <d v="2026-01-06T00:00:00"/>
    <d v="2026-01-20T00:00:00"/>
    <d v="2026-01-06T00:00:00"/>
    <n v="1"/>
    <n v="1"/>
    <n v="100"/>
    <s v="SEM 4"/>
    <s v="Jan-2026"/>
    <x v="0"/>
    <n v="1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8990301"/>
    <n v="2"/>
    <s v="Standard"/>
    <s v="X"/>
    <d v="2025-12-29T00:00:00"/>
    <x v="236"/>
    <d v="2026-01-06T00:00:00"/>
    <d v="2026-01-21T00:00:00"/>
    <d v="2026-01-06T00:00:00"/>
    <n v="1"/>
    <n v="1"/>
    <n v="100"/>
    <s v="SEM 4"/>
    <s v="Jan-2026"/>
    <x v="0"/>
    <n v="1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8997291"/>
    <n v="2"/>
    <s v="Standard"/>
    <s v="X"/>
    <d v="2025-12-30T00:00:00"/>
    <x v="33"/>
    <d v="2026-01-13T00:00:00"/>
    <d v="2026-01-22T00:00:00"/>
    <d v="2026-01-13T00:00:00"/>
    <n v="1"/>
    <n v="1"/>
    <n v="100"/>
    <s v="SEM 4"/>
    <s v="Jan-2026"/>
    <x v="0"/>
    <n v="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000835"/>
    <n v="1"/>
    <s v="Standard"/>
    <s v="X"/>
    <d v="2025-12-31T00:00:00"/>
    <x v="44"/>
    <d v="2026-01-09T00:00:00"/>
    <d v="2026-01-23T00:00:00"/>
    <d v="2026-01-09T00:00:00"/>
    <n v="1"/>
    <n v="1"/>
    <n v="100"/>
    <s v="SEM 4"/>
    <s v="Jan-2026"/>
    <x v="0"/>
    <n v="1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001176"/>
    <n v="1"/>
    <s v="Standard"/>
    <s v="X"/>
    <d v="2025-12-31T00:00:00"/>
    <x v="44"/>
    <d v="2026-01-09T00:00:00"/>
    <d v="2026-01-23T00:00:00"/>
    <d v="2026-01-09T00:00:00"/>
    <n v="1"/>
    <n v="1"/>
    <n v="100"/>
    <s v="SEM 4"/>
    <s v="Jan-2026"/>
    <x v="0"/>
    <n v="1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003876"/>
    <n v="10"/>
    <s v="Standard"/>
    <s v="X"/>
    <d v="2026-01-01T00:00:00"/>
    <x v="195"/>
    <d v="2026-01-09T00:00:00"/>
    <d v="2026-01-24T00:00:00"/>
    <d v="2026-01-09T00:00:00"/>
    <n v="1"/>
    <n v="1"/>
    <n v="100"/>
    <s v="SEM 4"/>
    <s v="Jan-2026"/>
    <x v="0"/>
    <n v="1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004718"/>
    <n v="1"/>
    <s v="Standard"/>
    <s v="X"/>
    <d v="2026-01-02T00:00:00"/>
    <x v="195"/>
    <d v="2026-01-09T00:00:00"/>
    <d v="2026-01-24T00:00:00"/>
    <d v="2026-01-09T00:00:00"/>
    <n v="1"/>
    <n v="1"/>
    <n v="100"/>
    <s v="SEM 4"/>
    <s v="Jan-2026"/>
    <x v="0"/>
    <n v="1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013066"/>
    <n v="1"/>
    <s v="Standard"/>
    <s v="X"/>
    <d v="2026-01-03T00:00:00"/>
    <x v="162"/>
    <d v="2026-01-09T00:00:00"/>
    <d v="2026-01-26T00:00:00"/>
    <d v="2026-01-09T00:00:00"/>
    <n v="1"/>
    <n v="1"/>
    <n v="100"/>
    <s v="SEM 5"/>
    <s v="Jan-2026"/>
    <x v="0"/>
    <n v="1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013246"/>
    <n v="16"/>
    <s v="Standard"/>
    <s v="X"/>
    <d v="2026-01-03T00:00:00"/>
    <x v="162"/>
    <d v="2026-01-09T00:00:00"/>
    <d v="2026-01-26T00:00:00"/>
    <d v="2026-01-09T00:00:00"/>
    <n v="1"/>
    <n v="1"/>
    <n v="100"/>
    <s v="SEM 5"/>
    <s v="Jan-2026"/>
    <x v="0"/>
    <n v="1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013589"/>
    <n v="2"/>
    <s v="Standard"/>
    <s v="X"/>
    <d v="2026-01-04T00:00:00"/>
    <x v="162"/>
    <d v="2026-01-09T00:00:00"/>
    <d v="2026-01-26T00:00:00"/>
    <d v="2026-01-09T00:00:00"/>
    <n v="1"/>
    <n v="1"/>
    <n v="100"/>
    <s v="SEM 5"/>
    <s v="Jan-2026"/>
    <x v="0"/>
    <n v="1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015423"/>
    <n v="1"/>
    <s v="Standard"/>
    <s v="X"/>
    <d v="2026-01-04T00:00:00"/>
    <x v="11"/>
    <d v="2026-01-09T00:00:00"/>
    <d v="2026-01-27T00:00:00"/>
    <d v="2026-01-09T00:00:00"/>
    <n v="1"/>
    <n v="1"/>
    <n v="100"/>
    <s v="SEM 5"/>
    <s v="Jan-2026"/>
    <x v="0"/>
    <n v="1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044621"/>
    <n v="2"/>
    <s v="Standard"/>
    <s v="X"/>
    <d v="2026-01-11T00:00:00"/>
    <x v="146"/>
    <d v="2026-02-02T00:00:00"/>
    <d v="2026-02-03T00:00:00"/>
    <d v="2026-02-02T00:00:00"/>
    <n v="1"/>
    <n v="1"/>
    <n v="100"/>
    <s v="SEM 6"/>
    <s v="Feb-2026"/>
    <x v="0"/>
    <n v="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060454"/>
    <n v="1"/>
    <s v="Standard"/>
    <s v="X"/>
    <d v="2026-01-14T00:00:00"/>
    <x v="138"/>
    <d v="2026-02-02T00:00:00"/>
    <d v="2026-02-06T00:00:00"/>
    <d v="2026-02-02T00:00:00"/>
    <n v="1"/>
    <n v="1"/>
    <n v="100"/>
    <s v="SEM 6"/>
    <s v="Feb-2026"/>
    <x v="0"/>
    <n v="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061136"/>
    <n v="2"/>
    <s v="Standard"/>
    <s v="X"/>
    <d v="2026-01-15T00:00:00"/>
    <x v="138"/>
    <d v="2026-02-02T00:00:00"/>
    <d v="2026-02-06T00:00:00"/>
    <d v="2026-02-02T00:00:00"/>
    <n v="1"/>
    <n v="1"/>
    <n v="100"/>
    <s v="SEM 6"/>
    <s v="Feb-2026"/>
    <x v="0"/>
    <n v="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064006"/>
    <n v="1"/>
    <s v="Standard"/>
    <s v="X"/>
    <d v="2026-01-15T00:00:00"/>
    <x v="248"/>
    <d v="2026-02-02T00:00:00"/>
    <d v="2026-02-07T00:00:00"/>
    <d v="2026-02-02T00:00:00"/>
    <n v="1"/>
    <n v="1"/>
    <n v="100"/>
    <s v="SEM 6"/>
    <s v="Feb-2026"/>
    <x v="0"/>
    <n v="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065428"/>
    <n v="1"/>
    <s v="Standard"/>
    <s v="X"/>
    <d v="2026-01-15T00:00:00"/>
    <x v="248"/>
    <d v="2026-02-03T00:00:00"/>
    <d v="2026-02-07T00:00:00"/>
    <d v="2026-02-03T00:00:00"/>
    <n v="1"/>
    <n v="1"/>
    <n v="100"/>
    <s v="SEM 6"/>
    <s v="Feb-2026"/>
    <x v="0"/>
    <n v="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076638"/>
    <n v="1"/>
    <s v="Standard"/>
    <s v="X"/>
    <d v="2026-01-19T00:00:00"/>
    <x v="143"/>
    <d v="2026-02-03T00:00:00"/>
    <d v="2026-02-11T00:00:00"/>
    <d v="2026-02-03T00:00:00"/>
    <n v="1"/>
    <n v="1"/>
    <n v="100"/>
    <s v="SEM 7"/>
    <s v="Feb-2026"/>
    <x v="0"/>
    <n v="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084214"/>
    <n v="1"/>
    <s v="Standard"/>
    <s v="X"/>
    <d v="2026-01-20T00:00:00"/>
    <x v="121"/>
    <d v="2026-02-03T00:00:00"/>
    <d v="2026-02-12T00:00:00"/>
    <d v="2026-02-03T00:00:00"/>
    <n v="1"/>
    <n v="1"/>
    <n v="100"/>
    <s v="SEM 7"/>
    <s v="Feb-2026"/>
    <x v="0"/>
    <n v="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089544"/>
    <n v="1"/>
    <s v="Standard"/>
    <s v="X"/>
    <d v="2026-01-21T00:00:00"/>
    <x v="58"/>
    <d v="2026-02-03T00:00:00"/>
    <d v="2026-02-13T00:00:00"/>
    <d v="2026-02-03T00:00:00"/>
    <n v="1"/>
    <n v="1"/>
    <n v="100"/>
    <s v="SEM 7"/>
    <s v="Feb-2026"/>
    <x v="0"/>
    <n v="1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089880"/>
    <n v="1"/>
    <s v="Standard"/>
    <s v="X"/>
    <d v="2026-01-21T00:00:00"/>
    <x v="58"/>
    <d v="2026-02-03T00:00:00"/>
    <d v="2026-02-13T00:00:00"/>
    <d v="2026-02-03T00:00:00"/>
    <n v="1"/>
    <n v="1"/>
    <n v="100"/>
    <s v="SEM 7"/>
    <s v="Feb-2026"/>
    <x v="0"/>
    <n v="1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090362"/>
    <n v="1"/>
    <s v="Standard"/>
    <s v="X"/>
    <d v="2026-01-21T00:00:00"/>
    <x v="58"/>
    <d v="2026-02-03T00:00:00"/>
    <d v="2026-02-13T00:00:00"/>
    <d v="2026-02-03T00:00:00"/>
    <n v="1"/>
    <n v="1"/>
    <n v="100"/>
    <s v="SEM 7"/>
    <s v="Feb-2026"/>
    <x v="0"/>
    <n v="1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094661"/>
    <n v="1"/>
    <s v="Standard"/>
    <s v="X"/>
    <d v="2026-01-22T00:00:00"/>
    <x v="249"/>
    <d v="2026-02-03T00:00:00"/>
    <d v="2026-02-14T00:00:00"/>
    <d v="2026-02-03T00:00:00"/>
    <n v="1"/>
    <n v="1"/>
    <n v="100"/>
    <s v="SEM 7"/>
    <s v="Feb-2026"/>
    <x v="0"/>
    <n v="1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097321"/>
    <n v="1"/>
    <s v="Standard"/>
    <s v="X"/>
    <d v="2026-01-23T00:00:00"/>
    <x v="130"/>
    <d v="2026-02-03T00:00:00"/>
    <d v="2026-02-15T00:00:00"/>
    <d v="2026-02-03T00:00:00"/>
    <n v="1"/>
    <n v="1"/>
    <n v="100"/>
    <s v="SEM 8"/>
    <s v="Feb-2026"/>
    <x v="0"/>
    <n v="1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098097"/>
    <n v="1"/>
    <s v="Standard"/>
    <s v="X"/>
    <d v="2026-01-23T00:00:00"/>
    <x v="130"/>
    <d v="2026-02-03T00:00:00"/>
    <d v="2026-02-15T00:00:00"/>
    <d v="2026-02-03T00:00:00"/>
    <n v="1"/>
    <n v="1"/>
    <n v="100"/>
    <s v="SEM 8"/>
    <s v="Feb-2026"/>
    <x v="0"/>
    <n v="1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099189"/>
    <n v="3"/>
    <s v="Standard"/>
    <s v="X"/>
    <d v="2026-01-23T00:00:00"/>
    <x v="130"/>
    <d v="2026-02-03T00:00:00"/>
    <d v="2026-02-15T00:00:00"/>
    <d v="2026-02-03T00:00:00"/>
    <n v="1"/>
    <n v="1"/>
    <n v="100"/>
    <s v="SEM 8"/>
    <s v="Feb-2026"/>
    <x v="0"/>
    <n v="1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099389"/>
    <n v="1"/>
    <s v="Standard"/>
    <s v="X"/>
    <d v="2026-01-23T00:00:00"/>
    <x v="130"/>
    <d v="2026-02-03T00:00:00"/>
    <d v="2026-02-15T00:00:00"/>
    <d v="2026-02-03T00:00:00"/>
    <n v="1"/>
    <n v="1"/>
    <n v="100"/>
    <s v="SEM 8"/>
    <s v="Feb-2026"/>
    <x v="0"/>
    <n v="1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100985"/>
    <n v="1"/>
    <s v="Standard"/>
    <s v="X"/>
    <d v="2026-01-24T00:00:00"/>
    <x v="88"/>
    <d v="2026-02-03T00:00:00"/>
    <d v="2026-02-16T00:00:00"/>
    <d v="2026-02-03T00:00:00"/>
    <n v="1"/>
    <n v="1"/>
    <n v="100"/>
    <s v="SEM 8"/>
    <s v="Feb-2026"/>
    <x v="0"/>
    <n v="1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101219"/>
    <n v="1"/>
    <s v="Standard"/>
    <s v="X"/>
    <d v="2026-01-24T00:00:00"/>
    <x v="88"/>
    <d v="2026-02-03T00:00:00"/>
    <d v="2026-02-16T00:00:00"/>
    <d v="2026-02-03T00:00:00"/>
    <n v="1"/>
    <n v="1"/>
    <n v="100"/>
    <s v="SEM 8"/>
    <s v="Feb-2026"/>
    <x v="0"/>
    <n v="1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102769"/>
    <n v="2"/>
    <s v="Standard"/>
    <s v="X"/>
    <d v="2026-01-25T00:00:00"/>
    <x v="161"/>
    <d v="2026-02-03T00:00:00"/>
    <d v="2026-02-17T00:00:00"/>
    <d v="2026-02-03T00:00:00"/>
    <n v="1"/>
    <n v="1"/>
    <n v="100"/>
    <s v="SEM 8"/>
    <s v="Feb-2026"/>
    <x v="0"/>
    <n v="1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103273"/>
    <n v="3"/>
    <s v="Standard"/>
    <s v="X"/>
    <d v="2026-01-25T00:00:00"/>
    <x v="161"/>
    <d v="2026-02-03T00:00:00"/>
    <d v="2026-02-17T00:00:00"/>
    <d v="2026-02-03T00:00:00"/>
    <n v="1"/>
    <n v="1"/>
    <n v="100"/>
    <s v="SEM 8"/>
    <s v="Feb-2026"/>
    <x v="0"/>
    <n v="1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104138"/>
    <n v="1"/>
    <s v="Standard"/>
    <s v="X"/>
    <d v="2026-01-26T00:00:00"/>
    <x v="161"/>
    <d v="2026-02-03T00:00:00"/>
    <d v="2026-02-17T00:00:00"/>
    <d v="2026-02-03T00:00:00"/>
    <n v="1"/>
    <n v="1"/>
    <n v="100"/>
    <s v="SEM 8"/>
    <s v="Feb-2026"/>
    <x v="0"/>
    <n v="1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122088"/>
    <n v="1"/>
    <s v="Standard"/>
    <s v="X"/>
    <d v="2026-01-29T00:00:00"/>
    <x v="158"/>
    <d v="2026-02-06T00:00:00"/>
    <d v="2026-02-21T00:00:00"/>
    <d v="2026-02-06T00:00:00"/>
    <n v="1"/>
    <n v="1"/>
    <n v="100"/>
    <s v="SEM 8"/>
    <s v="Feb-2026"/>
    <x v="0"/>
    <n v="1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122624"/>
    <n v="2"/>
    <s v="Standard"/>
    <s v="X"/>
    <d v="2026-01-29T00:00:00"/>
    <x v="158"/>
    <d v="2026-02-06T00:00:00"/>
    <d v="2026-02-21T00:00:00"/>
    <d v="2026-02-06T00:00:00"/>
    <n v="1"/>
    <n v="1"/>
    <n v="100"/>
    <s v="SEM 8"/>
    <s v="Feb-2026"/>
    <x v="0"/>
    <n v="1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126538"/>
    <n v="3"/>
    <s v="Standard"/>
    <s v="X"/>
    <d v="2026-01-30T00:00:00"/>
    <x v="36"/>
    <d v="2026-02-06T00:00:00"/>
    <d v="2026-02-22T00:00:00"/>
    <d v="2026-02-06T00:00:00"/>
    <n v="1"/>
    <n v="1"/>
    <n v="100"/>
    <s v="SEM 9"/>
    <s v="Feb-2026"/>
    <x v="0"/>
    <n v="1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127411"/>
    <n v="3"/>
    <s v="Standard"/>
    <s v="X"/>
    <d v="2026-01-30T00:00:00"/>
    <x v="36"/>
    <d v="2026-02-06T00:00:00"/>
    <d v="2026-02-22T00:00:00"/>
    <d v="2026-02-06T00:00:00"/>
    <n v="1"/>
    <n v="1"/>
    <n v="100"/>
    <s v="SEM 9"/>
    <s v="Feb-2026"/>
    <x v="0"/>
    <n v="1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180306"/>
    <n v="1"/>
    <s v="Standard"/>
    <s v="X"/>
    <d v="2026-02-11T00:00:00"/>
    <x v="100"/>
    <d v="2026-03-02T00:00:00"/>
    <d v="2026-03-06T00:00:00"/>
    <d v="2026-03-02T00:00:00"/>
    <n v="1"/>
    <n v="1"/>
    <n v="100"/>
    <s v="SEM 10"/>
    <s v="Mar-2026"/>
    <x v="0"/>
    <n v="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180913"/>
    <n v="2"/>
    <s v="Standard"/>
    <s v="X"/>
    <d v="2026-02-12T00:00:00"/>
    <x v="100"/>
    <d v="2026-03-02T00:00:00"/>
    <d v="2026-03-06T00:00:00"/>
    <d v="2026-03-02T00:00:00"/>
    <n v="1"/>
    <n v="1"/>
    <n v="100"/>
    <s v="SEM 10"/>
    <s v="Mar-2026"/>
    <x v="0"/>
    <n v="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184905"/>
    <n v="1"/>
    <s v="Standard"/>
    <s v="X"/>
    <d v="2026-02-12T00:00:00"/>
    <x v="73"/>
    <d v="2026-03-02T00:00:00"/>
    <d v="2026-03-07T00:00:00"/>
    <d v="2026-03-02T00:00:00"/>
    <n v="1"/>
    <n v="1"/>
    <n v="100"/>
    <s v="SEM 10"/>
    <s v="Mar-2026"/>
    <x v="0"/>
    <n v="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187192"/>
    <n v="1"/>
    <s v="Standard"/>
    <s v="X"/>
    <d v="2026-02-13T00:00:00"/>
    <x v="73"/>
    <d v="2026-03-02T00:00:00"/>
    <d v="2026-03-07T00:00:00"/>
    <d v="2026-03-02T00:00:00"/>
    <n v="1"/>
    <n v="1"/>
    <n v="100"/>
    <s v="SEM 10"/>
    <s v="Mar-2026"/>
    <x v="0"/>
    <n v="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211047"/>
    <n v="1"/>
    <s v="Standard"/>
    <s v="X"/>
    <d v="2026-02-18T00:00:00"/>
    <x v="277"/>
    <d v="2026-03-02T00:00:00"/>
    <d v="2026-03-13T00:00:00"/>
    <d v="2026-03-02T00:00:00"/>
    <n v="1"/>
    <n v="1"/>
    <n v="100"/>
    <s v="SEM 11"/>
    <s v="Mar-2026"/>
    <x v="0"/>
    <n v="1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223124"/>
    <n v="2"/>
    <s v="Standard"/>
    <s v="X"/>
    <d v="2026-02-21T00:00:00"/>
    <x v="29"/>
    <d v="2026-03-03T00:00:00"/>
    <d v="2026-03-16T00:00:00"/>
    <d v="2026-03-03T00:00:00"/>
    <n v="1"/>
    <n v="1"/>
    <n v="100"/>
    <s v="SEM 12"/>
    <s v="Mar-2026"/>
    <x v="0"/>
    <n v="1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237268"/>
    <n v="1"/>
    <s v="Standard"/>
    <s v="X"/>
    <d v="2026-02-25T00:00:00"/>
    <x v="106"/>
    <d v="2026-03-03T00:00:00"/>
    <d v="2026-03-19T00:00:00"/>
    <d v="2026-03-03T00:00:00"/>
    <n v="1"/>
    <n v="1"/>
    <n v="100"/>
    <s v="SEM 12"/>
    <s v="Mar-2026"/>
    <x v="0"/>
    <n v="1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241817"/>
    <n v="1"/>
    <s v="Standard"/>
    <s v="X"/>
    <d v="2026-02-25T00:00:00"/>
    <x v="78"/>
    <d v="2026-03-05T00:00:00"/>
    <d v="2026-03-20T00:00:00"/>
    <d v="2026-03-05T00:00:00"/>
    <n v="1"/>
    <n v="1"/>
    <n v="100"/>
    <s v="SEM 12"/>
    <s v="Mar-2026"/>
    <x v="0"/>
    <n v="1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242002"/>
    <n v="1"/>
    <s v="Standard"/>
    <s v="X"/>
    <d v="2026-02-25T00:00:00"/>
    <x v="78"/>
    <d v="2026-03-05T00:00:00"/>
    <d v="2026-03-20T00:00:00"/>
    <d v="2026-03-05T00:00:00"/>
    <n v="1"/>
    <n v="1"/>
    <n v="100"/>
    <s v="SEM 12"/>
    <s v="Mar-2026"/>
    <x v="0"/>
    <n v="1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243676"/>
    <n v="1"/>
    <s v="Standard"/>
    <s v="X"/>
    <d v="2026-02-26T00:00:00"/>
    <x v="180"/>
    <d v="2026-03-05T00:00:00"/>
    <d v="2026-03-21T00:00:00"/>
    <d v="2026-03-05T00:00:00"/>
    <n v="1"/>
    <n v="1"/>
    <n v="100"/>
    <s v="SEM 12"/>
    <s v="Mar-2026"/>
    <x v="0"/>
    <n v="1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244335"/>
    <n v="1"/>
    <s v="Standard"/>
    <s v="X"/>
    <d v="2026-02-26T00:00:00"/>
    <x v="180"/>
    <d v="2026-03-05T00:00:00"/>
    <d v="2026-03-21T00:00:00"/>
    <d v="2026-03-05T00:00:00"/>
    <n v="1"/>
    <n v="1"/>
    <n v="100"/>
    <s v="SEM 12"/>
    <s v="Mar-2026"/>
    <x v="0"/>
    <n v="1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276663"/>
    <n v="1"/>
    <s v="Standard"/>
    <s v="X"/>
    <d v="2026-03-05T00:00:00"/>
    <x v="197"/>
    <d v="2026-03-13T00:00:00"/>
    <d v="2026-03-28T00:00:00"/>
    <d v="2026-03-13T00:00:00"/>
    <n v="1"/>
    <n v="1"/>
    <n v="100"/>
    <s v="SEM 13"/>
    <s v="Mar-2026"/>
    <x v="0"/>
    <n v="1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278073"/>
    <n v="1"/>
    <s v="Standard"/>
    <s v="X"/>
    <d v="2026-03-06T00:00:00"/>
    <x v="49"/>
    <d v="2026-03-13T00:00:00"/>
    <d v="2026-03-29T00:00:00"/>
    <d v="2026-03-13T00:00:00"/>
    <n v="1"/>
    <n v="1"/>
    <n v="100"/>
    <s v="SEM 14"/>
    <s v="Mar-2026"/>
    <x v="0"/>
    <n v="1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280548"/>
    <n v="2"/>
    <s v="Standard"/>
    <s v="X"/>
    <d v="2026-03-06T00:00:00"/>
    <x v="49"/>
    <d v="2026-03-13T00:00:00"/>
    <d v="2026-03-29T00:00:00"/>
    <d v="2026-03-13T00:00:00"/>
    <n v="1"/>
    <n v="1"/>
    <n v="100"/>
    <s v="SEM 14"/>
    <s v="Mar-2026"/>
    <x v="0"/>
    <n v="1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280769"/>
    <n v="1"/>
    <s v="Standard"/>
    <s v="X"/>
    <d v="2026-03-06T00:00:00"/>
    <x v="49"/>
    <d v="2026-03-13T00:00:00"/>
    <d v="2026-03-29T00:00:00"/>
    <d v="2026-03-13T00:00:00"/>
    <n v="1"/>
    <n v="1"/>
    <n v="100"/>
    <s v="SEM 14"/>
    <s v="Mar-2026"/>
    <x v="0"/>
    <n v="1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281625"/>
    <n v="2"/>
    <s v="Standard"/>
    <s v="X"/>
    <d v="2026-03-07T00:00:00"/>
    <x v="241"/>
    <d v="2026-03-13T00:00:00"/>
    <d v="2026-03-30T00:00:00"/>
    <d v="2026-03-13T00:00:00"/>
    <n v="1"/>
    <n v="1"/>
    <n v="100"/>
    <s v="SEM 14"/>
    <s v="Mar-2026"/>
    <x v="0"/>
    <n v="1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286722"/>
    <n v="1"/>
    <s v="Standard"/>
    <s v="X"/>
    <d v="2026-03-08T00:00:00"/>
    <x v="278"/>
    <d v="2026-03-13T00:00:00"/>
    <d v="2026-03-31T00:00:00"/>
    <d v="2026-03-13T00:00:00"/>
    <n v="1"/>
    <n v="1"/>
    <n v="100"/>
    <s v="SEM 14"/>
    <s v="Mar-2026"/>
    <x v="0"/>
    <n v="1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287455"/>
    <n v="2"/>
    <s v="Standard"/>
    <s v="X"/>
    <d v="2026-03-08T00:00:00"/>
    <x v="278"/>
    <d v="2026-03-13T00:00:00"/>
    <d v="2026-03-31T00:00:00"/>
    <d v="2026-03-13T00:00:00"/>
    <n v="1"/>
    <n v="1"/>
    <n v="100"/>
    <s v="SEM 14"/>
    <s v="Mar-2026"/>
    <x v="0"/>
    <n v="1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287756"/>
    <n v="1"/>
    <s v="Standard"/>
    <s v="X"/>
    <d v="2026-03-08T00:00:00"/>
    <x v="278"/>
    <d v="2026-03-13T00:00:00"/>
    <d v="2026-03-31T00:00:00"/>
    <d v="2026-03-13T00:00:00"/>
    <n v="1"/>
    <n v="1"/>
    <n v="100"/>
    <s v="SEM 14"/>
    <s v="Mar-2026"/>
    <x v="0"/>
    <n v="1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296849"/>
    <n v="1"/>
    <s v="Standard"/>
    <s v="X"/>
    <d v="2026-03-10T00:00:00"/>
    <x v="108"/>
    <d v="2026-04-01T00:00:00"/>
    <d v="2026-04-02T00:00:00"/>
    <d v="2026-04-01T00:00:00"/>
    <n v="1"/>
    <n v="1"/>
    <n v="100"/>
    <s v="SEM 14"/>
    <s v="Apr-2026"/>
    <x v="0"/>
    <n v="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03126"/>
    <n v="2"/>
    <s v="Standard"/>
    <s v="X"/>
    <d v="2026-03-11T00:00:00"/>
    <x v="124"/>
    <d v="2026-04-01T00:00:00"/>
    <d v="2026-04-03T00:00:00"/>
    <d v="2026-04-01T00:00:00"/>
    <n v="1"/>
    <n v="1"/>
    <n v="100"/>
    <s v="SEM 14"/>
    <s v="Apr-2026"/>
    <x v="0"/>
    <n v="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03339"/>
    <n v="1"/>
    <s v="Standard"/>
    <s v="X"/>
    <d v="2026-03-11T00:00:00"/>
    <x v="124"/>
    <d v="2026-04-01T00:00:00"/>
    <d v="2026-04-03T00:00:00"/>
    <d v="2026-04-01T00:00:00"/>
    <n v="1"/>
    <n v="1"/>
    <n v="100"/>
    <s v="SEM 14"/>
    <s v="Apr-2026"/>
    <x v="0"/>
    <n v="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07572"/>
    <n v="1"/>
    <s v="Standard"/>
    <s v="X"/>
    <d v="2026-03-12T00:00:00"/>
    <x v="152"/>
    <d v="2026-04-01T00:00:00"/>
    <d v="2026-04-04T00:00:00"/>
    <d v="2026-04-01T00:00:00"/>
    <n v="1"/>
    <n v="1"/>
    <n v="100"/>
    <s v="SEM 14"/>
    <s v="Apr-2026"/>
    <x v="0"/>
    <n v="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08845"/>
    <n v="7"/>
    <s v="Standard"/>
    <s v="X"/>
    <d v="2026-03-12T00:00:00"/>
    <x v="152"/>
    <d v="2026-04-01T00:00:00"/>
    <d v="2026-04-04T00:00:00"/>
    <d v="2026-04-01T00:00:00"/>
    <n v="1"/>
    <n v="1"/>
    <n v="100"/>
    <s v="SEM 14"/>
    <s v="Apr-2026"/>
    <x v="0"/>
    <n v="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09347"/>
    <n v="1"/>
    <s v="Standard"/>
    <s v="X"/>
    <d v="2026-03-12T00:00:00"/>
    <x v="152"/>
    <d v="2026-04-01T00:00:00"/>
    <d v="2026-04-04T00:00:00"/>
    <d v="2026-04-01T00:00:00"/>
    <n v="1"/>
    <n v="1"/>
    <n v="100"/>
    <s v="SEM 14"/>
    <s v="Apr-2026"/>
    <x v="0"/>
    <n v="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15148"/>
    <n v="2"/>
    <s v="Standard"/>
    <s v="X"/>
    <d v="2026-03-13T00:00:00"/>
    <x v="69"/>
    <d v="2026-04-01T00:00:00"/>
    <d v="2026-04-05T00:00:00"/>
    <d v="2026-04-01T00:00:00"/>
    <n v="1"/>
    <n v="1"/>
    <n v="100"/>
    <s v="SEM 15"/>
    <s v="Apr-2026"/>
    <x v="0"/>
    <n v="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21017"/>
    <n v="1"/>
    <s v="Standard"/>
    <s v="X"/>
    <d v="2026-03-15T00:00:00"/>
    <x v="227"/>
    <d v="2026-04-01T00:00:00"/>
    <d v="2026-04-07T00:00:00"/>
    <d v="2026-04-01T00:00:00"/>
    <n v="1"/>
    <n v="1"/>
    <n v="100"/>
    <s v="SEM 15"/>
    <s v="Apr-2026"/>
    <x v="0"/>
    <n v="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22219"/>
    <n v="1"/>
    <s v="Standard"/>
    <s v="X"/>
    <d v="2026-03-16T00:00:00"/>
    <x v="227"/>
    <d v="2026-04-01T00:00:00"/>
    <d v="2026-04-07T00:00:00"/>
    <d v="2026-04-01T00:00:00"/>
    <n v="1"/>
    <n v="1"/>
    <n v="100"/>
    <s v="SEM 15"/>
    <s v="Apr-2026"/>
    <x v="0"/>
    <n v="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31051"/>
    <n v="1"/>
    <s v="Standard"/>
    <s v="X"/>
    <d v="2026-03-17T00:00:00"/>
    <x v="47"/>
    <d v="2026-04-01T00:00:00"/>
    <d v="2026-04-09T00:00:00"/>
    <d v="2026-04-01T00:00:00"/>
    <n v="1"/>
    <n v="1"/>
    <n v="100"/>
    <s v="SEM 15"/>
    <s v="Apr-2026"/>
    <x v="0"/>
    <n v="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31873"/>
    <n v="1"/>
    <s v="Standard"/>
    <s v="X"/>
    <d v="2026-03-17T00:00:00"/>
    <x v="47"/>
    <d v="2026-04-02T00:00:00"/>
    <d v="2026-04-09T00:00:00"/>
    <d v="2026-04-02T00:00:00"/>
    <n v="1"/>
    <n v="1"/>
    <n v="100"/>
    <s v="SEM 15"/>
    <s v="Apr-2026"/>
    <x v="0"/>
    <n v="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36902"/>
    <n v="2"/>
    <s v="Standard"/>
    <s v="X"/>
    <d v="2026-03-18T00:00:00"/>
    <x v="46"/>
    <d v="2026-04-02T00:00:00"/>
    <d v="2026-04-10T00:00:00"/>
    <d v="2026-04-02T00:00:00"/>
    <n v="1"/>
    <n v="1"/>
    <n v="100"/>
    <s v="SEM 15"/>
    <s v="Apr-2026"/>
    <x v="0"/>
    <n v="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37322"/>
    <n v="3"/>
    <s v="Standard"/>
    <s v="X"/>
    <d v="2026-03-18T00:00:00"/>
    <x v="46"/>
    <d v="2026-04-02T00:00:00"/>
    <d v="2026-04-10T00:00:00"/>
    <d v="2026-04-02T00:00:00"/>
    <n v="1"/>
    <n v="1"/>
    <n v="100"/>
    <s v="SEM 15"/>
    <s v="Apr-2026"/>
    <x v="0"/>
    <n v="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41037"/>
    <n v="2"/>
    <s v="Standard"/>
    <s v="X"/>
    <d v="2026-03-19T00:00:00"/>
    <x v="163"/>
    <d v="2026-04-02T00:00:00"/>
    <d v="2026-04-11T00:00:00"/>
    <d v="2026-04-02T00:00:00"/>
    <n v="1"/>
    <n v="1"/>
    <n v="100"/>
    <s v="SEM 15"/>
    <s v="Apr-2026"/>
    <x v="0"/>
    <n v="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41485"/>
    <n v="1"/>
    <s v="Standard"/>
    <s v="X"/>
    <d v="2026-03-19T00:00:00"/>
    <x v="163"/>
    <d v="2026-04-02T00:00:00"/>
    <d v="2026-04-11T00:00:00"/>
    <d v="2026-04-02T00:00:00"/>
    <n v="1"/>
    <n v="1"/>
    <n v="100"/>
    <s v="SEM 15"/>
    <s v="Apr-2026"/>
    <x v="0"/>
    <n v="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41859"/>
    <n v="1"/>
    <s v="Standard"/>
    <s v="X"/>
    <d v="2026-03-19T00:00:00"/>
    <x v="163"/>
    <d v="2026-04-02T00:00:00"/>
    <d v="2026-04-11T00:00:00"/>
    <d v="2026-04-02T00:00:00"/>
    <n v="1"/>
    <n v="1"/>
    <n v="100"/>
    <s v="SEM 15"/>
    <s v="Apr-2026"/>
    <x v="0"/>
    <n v="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43246"/>
    <n v="3"/>
    <s v="Standard"/>
    <s v="X"/>
    <d v="2026-03-20T00:00:00"/>
    <x v="163"/>
    <d v="2026-04-02T00:00:00"/>
    <d v="2026-04-11T00:00:00"/>
    <d v="2026-04-02T00:00:00"/>
    <n v="1"/>
    <n v="1"/>
    <n v="100"/>
    <s v="SEM 15"/>
    <s v="Apr-2026"/>
    <x v="0"/>
    <n v="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43990"/>
    <n v="4"/>
    <s v="Standard"/>
    <s v="X"/>
    <d v="2026-03-20T00:00:00"/>
    <x v="207"/>
    <d v="2026-04-02T00:00:00"/>
    <d v="2026-04-12T00:00:00"/>
    <d v="2026-04-02T00:00:00"/>
    <n v="1"/>
    <n v="1"/>
    <n v="100"/>
    <s v="SEM 16"/>
    <s v="Apr-2026"/>
    <x v="0"/>
    <n v="1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44659"/>
    <n v="8"/>
    <s v="Standard"/>
    <s v="X"/>
    <d v="2026-03-20T00:00:00"/>
    <x v="207"/>
    <d v="2026-04-02T00:00:00"/>
    <d v="2026-04-12T00:00:00"/>
    <d v="2026-04-02T00:00:00"/>
    <n v="1"/>
    <n v="1"/>
    <n v="100"/>
    <s v="SEM 16"/>
    <s v="Apr-2026"/>
    <x v="0"/>
    <n v="1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46714"/>
    <n v="1"/>
    <s v="Standard"/>
    <s v="X"/>
    <d v="2026-03-20T00:00:00"/>
    <x v="207"/>
    <d v="2026-04-02T00:00:00"/>
    <d v="2026-04-12T00:00:00"/>
    <d v="2026-04-02T00:00:00"/>
    <n v="1"/>
    <n v="1"/>
    <n v="100"/>
    <s v="SEM 16"/>
    <s v="Apr-2026"/>
    <x v="0"/>
    <n v="1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47021"/>
    <n v="1"/>
    <s v="Standard"/>
    <s v="X"/>
    <d v="2026-03-21T00:00:00"/>
    <x v="207"/>
    <d v="2026-04-02T00:00:00"/>
    <d v="2026-04-12T00:00:00"/>
    <d v="2026-04-02T00:00:00"/>
    <n v="1"/>
    <n v="1"/>
    <n v="100"/>
    <s v="SEM 16"/>
    <s v="Apr-2026"/>
    <x v="0"/>
    <n v="1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47345"/>
    <n v="1"/>
    <s v="Standard"/>
    <s v="X"/>
    <d v="2026-03-21T00:00:00"/>
    <x v="207"/>
    <d v="2026-04-02T00:00:00"/>
    <d v="2026-04-12T00:00:00"/>
    <d v="2026-04-02T00:00:00"/>
    <n v="1"/>
    <n v="1"/>
    <n v="100"/>
    <s v="SEM 16"/>
    <s v="Apr-2026"/>
    <x v="0"/>
    <n v="1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48701"/>
    <n v="4"/>
    <s v="Standard"/>
    <s v="X"/>
    <d v="2026-03-21T00:00:00"/>
    <x v="153"/>
    <d v="2026-04-02T00:00:00"/>
    <d v="2026-04-13T00:00:00"/>
    <d v="2026-04-02T00:00:00"/>
    <n v="1"/>
    <n v="1"/>
    <n v="100"/>
    <s v="SEM 16"/>
    <s v="Apr-2026"/>
    <x v="0"/>
    <n v="1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50609"/>
    <n v="1"/>
    <s v="Standard"/>
    <s v="X"/>
    <d v="2026-03-22T00:00:00"/>
    <x v="198"/>
    <d v="2026-04-02T00:00:00"/>
    <d v="2026-04-14T00:00:00"/>
    <d v="2026-04-02T00:00:00"/>
    <n v="1"/>
    <n v="1"/>
    <n v="100"/>
    <s v="SEM 16"/>
    <s v="Apr-2026"/>
    <x v="0"/>
    <n v="1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51153"/>
    <n v="1"/>
    <s v="Standard"/>
    <s v="X"/>
    <d v="2026-03-22T00:00:00"/>
    <x v="198"/>
    <d v="2026-04-02T00:00:00"/>
    <d v="2026-04-14T00:00:00"/>
    <d v="2026-04-02T00:00:00"/>
    <n v="1"/>
    <n v="1"/>
    <n v="100"/>
    <s v="SEM 16"/>
    <s v="Apr-2026"/>
    <x v="0"/>
    <n v="1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62498"/>
    <n v="1"/>
    <s v="Standard"/>
    <s v="X"/>
    <d v="2026-03-24T00:00:00"/>
    <x v="243"/>
    <d v="2026-04-02T00:00:00"/>
    <d v="2026-04-16T00:00:00"/>
    <d v="2026-04-02T00:00:00"/>
    <n v="1"/>
    <n v="1"/>
    <n v="100"/>
    <s v="SEM 16"/>
    <s v="Apr-2026"/>
    <x v="0"/>
    <n v="1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64344"/>
    <n v="4"/>
    <s v="Standard"/>
    <s v="X"/>
    <d v="2026-03-25T00:00:00"/>
    <x v="144"/>
    <d v="2026-04-02T00:00:00"/>
    <d v="2026-04-17T00:00:00"/>
    <d v="2026-04-02T00:00:00"/>
    <n v="1"/>
    <n v="1"/>
    <n v="100"/>
    <s v="SEM 16"/>
    <s v="Apr-2026"/>
    <x v="0"/>
    <n v="1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66725"/>
    <n v="1"/>
    <s v="Standard"/>
    <s v="X"/>
    <d v="2026-03-25T00:00:00"/>
    <x v="144"/>
    <d v="2026-04-02T00:00:00"/>
    <d v="2026-04-17T00:00:00"/>
    <d v="2026-04-02T00:00:00"/>
    <n v="1"/>
    <n v="1"/>
    <n v="100"/>
    <s v="SEM 16"/>
    <s v="Apr-2026"/>
    <x v="0"/>
    <n v="1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67353"/>
    <n v="1"/>
    <s v="Standard"/>
    <s v="X"/>
    <d v="2026-03-25T00:00:00"/>
    <x v="144"/>
    <d v="2026-04-02T00:00:00"/>
    <d v="2026-04-17T00:00:00"/>
    <d v="2026-04-02T00:00:00"/>
    <n v="1"/>
    <n v="1"/>
    <n v="100"/>
    <s v="SEM 16"/>
    <s v="Apr-2026"/>
    <x v="0"/>
    <n v="1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67624"/>
    <n v="1"/>
    <s v="Standard"/>
    <s v="X"/>
    <d v="2026-03-25T00:00:00"/>
    <x v="144"/>
    <d v="2026-04-02T00:00:00"/>
    <d v="2026-04-17T00:00:00"/>
    <d v="2026-04-02T00:00:00"/>
    <n v="1"/>
    <n v="1"/>
    <n v="100"/>
    <s v="SEM 16"/>
    <s v="Apr-2026"/>
    <x v="0"/>
    <n v="1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368463"/>
    <n v="2"/>
    <s v="Standard"/>
    <s v="X"/>
    <d v="2026-03-26T00:00:00"/>
    <x v="225"/>
    <d v="2026-04-02T00:00:00"/>
    <d v="2026-04-18T00:00:00"/>
    <d v="2026-04-02T00:00:00"/>
    <n v="1"/>
    <n v="1"/>
    <n v="100"/>
    <s v="SEM 16"/>
    <s v="Apr-2026"/>
    <x v="0"/>
    <n v="1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420594"/>
    <n v="1"/>
    <s v="Standard"/>
    <s v="X"/>
    <d v="2026-04-07T00:00:00"/>
    <x v="5"/>
    <d v="2026-04-13T00:00:00"/>
    <d v="2026-04-30T00:00:00"/>
    <d v="2026-04-13T00:00:00"/>
    <n v="1"/>
    <n v="1"/>
    <n v="100"/>
    <s v="SEM 18"/>
    <s v="Apr-2026"/>
    <x v="0"/>
    <n v="1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429156"/>
    <n v="1"/>
    <s v="Standard"/>
    <s v="X"/>
    <d v="2026-04-08T00:00:00"/>
    <x v="226"/>
    <d v="2026-04-24T00:00:00"/>
    <d v="2026-05-01T00:00:00"/>
    <d v="2026-04-24T00:00:00"/>
    <n v="1"/>
    <n v="1"/>
    <n v="100"/>
    <s v="SEM 18"/>
    <s v="May-2026"/>
    <x v="0"/>
    <n v="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429826"/>
    <n v="1"/>
    <s v="Standard"/>
    <s v="X"/>
    <d v="2026-04-09T00:00:00"/>
    <x v="226"/>
    <d v="2026-04-22T00:00:00"/>
    <d v="2026-05-01T00:00:00"/>
    <d v="2026-04-22T00:00:00"/>
    <n v="1"/>
    <n v="1"/>
    <n v="100"/>
    <s v="SEM 18"/>
    <s v="May-2026"/>
    <x v="0"/>
    <n v="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434842"/>
    <n v="4"/>
    <s v="Standard"/>
    <s v="X"/>
    <d v="2026-04-09T00:00:00"/>
    <x v="183"/>
    <d v="2026-04-24T00:00:00"/>
    <d v="2026-05-02T00:00:00"/>
    <d v="2026-04-24T00:00:00"/>
    <n v="1"/>
    <n v="1"/>
    <n v="100"/>
    <s v="SEM 18"/>
    <s v="May-2026"/>
    <x v="0"/>
    <n v="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435092"/>
    <n v="1"/>
    <s v="Standard"/>
    <s v="X"/>
    <d v="2026-04-09T00:00:00"/>
    <x v="183"/>
    <d v="2026-04-22T00:00:00"/>
    <d v="2026-05-02T00:00:00"/>
    <d v="2026-04-22T00:00:00"/>
    <n v="1"/>
    <n v="1"/>
    <n v="100"/>
    <s v="SEM 18"/>
    <s v="May-2026"/>
    <x v="0"/>
    <n v="1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435487"/>
    <n v="1"/>
    <s v="Standard"/>
    <s v="X"/>
    <d v="2026-04-09T00:00:00"/>
    <x v="183"/>
    <d v="2026-04-22T00:00:00"/>
    <d v="2026-05-02T00:00:00"/>
    <d v="2026-04-22T00:00:00"/>
    <n v="1"/>
    <n v="1"/>
    <n v="100"/>
    <s v="SEM 18"/>
    <s v="May-2026"/>
    <x v="0"/>
    <n v="1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435763"/>
    <n v="1"/>
    <s v="Standard"/>
    <s v="X"/>
    <d v="2026-04-10T00:00:00"/>
    <x v="183"/>
    <d v="2026-04-28T00:00:00"/>
    <d v="2026-05-02T00:00:00"/>
    <d v="2026-04-28T00:00:00"/>
    <n v="1"/>
    <n v="1"/>
    <n v="100"/>
    <s v="SEM 18"/>
    <s v="May-2026"/>
    <x v="0"/>
    <n v="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440498"/>
    <n v="1"/>
    <s v="Standard"/>
    <s v="X"/>
    <d v="2026-04-10T00:00:00"/>
    <x v="131"/>
    <d v="2026-04-22T00:00:00"/>
    <d v="2026-05-03T00:00:00"/>
    <d v="2026-04-22T00:00:00"/>
    <n v="1"/>
    <n v="1"/>
    <n v="100"/>
    <s v="SEM 19"/>
    <s v="May-2026"/>
    <x v="0"/>
    <n v="1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466799"/>
    <n v="1"/>
    <s v="Standard"/>
    <s v="X"/>
    <d v="2026-04-16T00:00:00"/>
    <x v="141"/>
    <d v="2026-05-06T00:00:00"/>
    <d v="2026-05-06T00:00:00"/>
    <d v="2026-05-06T00:00:00"/>
    <n v="1"/>
    <n v="1"/>
    <n v="100"/>
    <s v="SEM 19"/>
    <s v="May-2026"/>
    <x v="0"/>
    <n v="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466800"/>
    <n v="1"/>
    <s v="Standard"/>
    <s v="X"/>
    <d v="2026-04-16T00:00:00"/>
    <x v="114"/>
    <d v="2026-05-06T00:00:00"/>
    <d v="2026-05-07T00:00:00"/>
    <d v="2026-05-06T00:00:00"/>
    <n v="1"/>
    <n v="1"/>
    <n v="100"/>
    <s v="SEM 19"/>
    <s v="May-2026"/>
    <x v="0"/>
    <n v="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469890"/>
    <n v="3"/>
    <s v="Standard"/>
    <s v="X"/>
    <d v="2026-04-17T00:00:00"/>
    <x v="199"/>
    <d v="2026-05-06T00:00:00"/>
    <d v="2026-05-09T00:00:00"/>
    <d v="2026-05-06T00:00:00"/>
    <n v="1"/>
    <n v="1"/>
    <n v="100"/>
    <s v="SEM 19"/>
    <s v="May-2026"/>
    <x v="0"/>
    <n v="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473773"/>
    <n v="4"/>
    <s v="Standard"/>
    <s v="X"/>
    <d v="2026-04-17T00:00:00"/>
    <x v="115"/>
    <d v="2026-05-06T00:00:00"/>
    <d v="2026-05-10T00:00:00"/>
    <d v="2026-05-06T00:00:00"/>
    <n v="1"/>
    <n v="1"/>
    <n v="100"/>
    <s v="SEM 20"/>
    <s v="May-2026"/>
    <x v="0"/>
    <n v="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474804"/>
    <n v="2"/>
    <s v="Standard"/>
    <s v="X"/>
    <d v="2026-04-18T00:00:00"/>
    <x v="115"/>
    <d v="2026-05-06T00:00:00"/>
    <d v="2026-05-10T00:00:00"/>
    <d v="2026-05-06T00:00:00"/>
    <n v="1"/>
    <n v="1"/>
    <n v="100"/>
    <s v="SEM 20"/>
    <s v="May-2026"/>
    <x v="0"/>
    <n v="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476169"/>
    <n v="1"/>
    <s v="Standard"/>
    <s v="X"/>
    <d v="2026-04-18T00:00:00"/>
    <x v="125"/>
    <d v="2026-05-06T00:00:00"/>
    <d v="2026-05-11T00:00:00"/>
    <d v="2026-05-06T00:00:00"/>
    <n v="1"/>
    <n v="1"/>
    <n v="100"/>
    <s v="SEM 20"/>
    <s v="May-2026"/>
    <x v="0"/>
    <n v="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477465"/>
    <n v="1"/>
    <s v="Standard"/>
    <s v="X"/>
    <d v="2026-04-19T00:00:00"/>
    <x v="175"/>
    <d v="2026-05-06T00:00:00"/>
    <d v="2026-05-12T00:00:00"/>
    <d v="2026-05-06T00:00:00"/>
    <n v="1"/>
    <n v="1"/>
    <n v="100"/>
    <s v="SEM 20"/>
    <s v="May-2026"/>
    <x v="0"/>
    <n v="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478227"/>
    <n v="4"/>
    <s v="Standard"/>
    <s v="X"/>
    <d v="2026-04-19T00:00:00"/>
    <x v="175"/>
    <d v="2026-05-06T00:00:00"/>
    <d v="2026-05-12T00:00:00"/>
    <d v="2026-05-06T00:00:00"/>
    <n v="1"/>
    <n v="1"/>
    <n v="100"/>
    <s v="SEM 20"/>
    <s v="May-2026"/>
    <x v="0"/>
    <n v="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485842"/>
    <n v="2"/>
    <s v="Standard"/>
    <s v="X"/>
    <d v="2026-04-20T00:00:00"/>
    <x v="48"/>
    <d v="2026-05-06T00:00:00"/>
    <d v="2026-05-13T00:00:00"/>
    <d v="2026-05-06T00:00:00"/>
    <n v="1"/>
    <n v="1"/>
    <n v="100"/>
    <s v="SEM 20"/>
    <s v="May-2026"/>
    <x v="0"/>
    <n v="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494799"/>
    <n v="5"/>
    <s v="Standard"/>
    <s v="X"/>
    <d v="2026-04-22T00:00:00"/>
    <x v="257"/>
    <d v="2026-05-08T00:00:00"/>
    <d v="2026-05-15T00:00:00"/>
    <d v="2026-05-08T00:00:00"/>
    <n v="1"/>
    <n v="1"/>
    <n v="100"/>
    <s v="SEM 20"/>
    <s v="May-2026"/>
    <x v="0"/>
    <n v="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500228"/>
    <n v="3"/>
    <s v="Standard"/>
    <s v="X"/>
    <d v="2026-04-23T00:00:00"/>
    <x v="193"/>
    <d v="2026-05-08T00:00:00"/>
    <d v="2026-05-16T00:00:00"/>
    <d v="2026-05-08T00:00:00"/>
    <n v="1"/>
    <n v="1"/>
    <n v="100"/>
    <s v="SEM 20"/>
    <s v="May-2026"/>
    <x v="0"/>
    <n v="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504265"/>
    <n v="6"/>
    <s v="Standard"/>
    <s v="X"/>
    <d v="2026-04-24T00:00:00"/>
    <x v="193"/>
    <d v="2026-05-08T00:00:00"/>
    <d v="2026-05-16T00:00:00"/>
    <d v="2026-05-08T00:00:00"/>
    <n v="1"/>
    <n v="1"/>
    <n v="100"/>
    <s v="SEM 20"/>
    <s v="May-2026"/>
    <x v="0"/>
    <n v="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508622"/>
    <n v="8"/>
    <s v="Standard"/>
    <s v="X"/>
    <d v="2026-04-25T00:00:00"/>
    <x v="279"/>
    <d v="2026-05-08T00:00:00"/>
    <d v="2026-05-17T00:00:00"/>
    <d v="2026-05-08T00:00:00"/>
    <n v="1"/>
    <n v="1"/>
    <n v="100"/>
    <s v="SEM 21"/>
    <s v="May-2026"/>
    <x v="0"/>
    <n v="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513078"/>
    <n v="6"/>
    <s v="Standard"/>
    <s v="X"/>
    <d v="2026-04-27T00:00:00"/>
    <x v="62"/>
    <d v="2026-05-08T00:00:00"/>
    <d v="2026-05-19T00:00:00"/>
    <d v="2026-05-08T00:00:00"/>
    <n v="1"/>
    <n v="1"/>
    <n v="100"/>
    <s v="SEM 21"/>
    <s v="May-2026"/>
    <x v="0"/>
    <n v="1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524017"/>
    <n v="1"/>
    <s v="Standard"/>
    <s v="X"/>
    <d v="2026-04-29T00:00:00"/>
    <x v="234"/>
    <d v="2026-05-08T00:00:00"/>
    <d v="2026-05-21T00:00:00"/>
    <d v="2026-05-08T00:00:00"/>
    <n v="1"/>
    <n v="1"/>
    <n v="100"/>
    <s v="SEM 21"/>
    <s v="May-2026"/>
    <x v="0"/>
    <n v="1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529592"/>
    <n v="2"/>
    <s v="Standard"/>
    <s v="X"/>
    <d v="2026-04-30T00:00:00"/>
    <x v="280"/>
    <d v="2026-05-08T00:00:00"/>
    <d v="2026-05-22T00:00:00"/>
    <d v="2026-05-08T00:00:00"/>
    <n v="1"/>
    <n v="1"/>
    <n v="100"/>
    <s v="SEM 21"/>
    <s v="May-2026"/>
    <x v="0"/>
    <n v="1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531098"/>
    <n v="5"/>
    <s v="Standard"/>
    <s v="X"/>
    <d v="2026-04-30T00:00:00"/>
    <x v="208"/>
    <d v="2026-05-08T00:00:00"/>
    <d v="2026-05-23T00:00:00"/>
    <d v="2026-05-08T00:00:00"/>
    <n v="1"/>
    <n v="1"/>
    <n v="100"/>
    <s v="SEM 21"/>
    <s v="May-2026"/>
    <x v="0"/>
    <n v="1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538874"/>
    <n v="1"/>
    <s v="Standard"/>
    <s v="X"/>
    <d v="2026-05-02T00:00:00"/>
    <x v="12"/>
    <d v="2026-05-08T00:00:00"/>
    <d v="2026-05-24T00:00:00"/>
    <d v="2026-05-08T00:00:00"/>
    <n v="1"/>
    <n v="1"/>
    <n v="100"/>
    <s v="SEM 22"/>
    <s v="May-2026"/>
    <x v="0"/>
    <n v="1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549209"/>
    <n v="5"/>
    <s v="Standard"/>
    <s v="X"/>
    <d v="2026-05-05T00:00:00"/>
    <x v="229"/>
    <d v="2026-05-11T00:00:00"/>
    <d v="2026-05-27T00:00:00"/>
    <d v="2026-05-11T00:00:00"/>
    <n v="1"/>
    <n v="1"/>
    <n v="100"/>
    <s v="SEM 22"/>
    <s v="May-2026"/>
    <x v="0"/>
    <n v="1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572576"/>
    <n v="9"/>
    <s v="Standard"/>
    <s v="X"/>
    <d v="2026-05-09T00:00:00"/>
    <x v="242"/>
    <d v="2026-05-14T00:00:00"/>
    <d v="2026-05-31T00:00:00"/>
    <d v="2026-05-14T00:00:00"/>
    <n v="1"/>
    <n v="1"/>
    <n v="100"/>
    <s v="SEM 23"/>
    <s v="May-2026"/>
    <x v="0"/>
    <n v="1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572764"/>
    <n v="6"/>
    <s v="Standard"/>
    <s v="X"/>
    <d v="2026-05-09T00:00:00"/>
    <x v="126"/>
    <d v="2026-06-01T00:00:00"/>
    <d v="2026-06-01T00:00:00"/>
    <d v="2026-06-01T00:00:00"/>
    <n v="1"/>
    <n v="1"/>
    <n v="100"/>
    <s v="SEM 23"/>
    <s v="Jun-2026"/>
    <x v="0"/>
    <n v="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574559"/>
    <n v="1"/>
    <s v="Standard"/>
    <s v="X"/>
    <d v="2026-05-10T00:00:00"/>
    <x v="126"/>
    <d v="2026-06-01T00:00:00"/>
    <d v="2026-06-01T00:00:00"/>
    <d v="2026-06-01T00:00:00"/>
    <n v="1"/>
    <n v="1"/>
    <n v="100"/>
    <s v="SEM 23"/>
    <s v="Jun-2026"/>
    <x v="0"/>
    <n v="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592027"/>
    <n v="6"/>
    <s v="Standard"/>
    <s v="X"/>
    <d v="2026-05-13T00:00:00"/>
    <x v="109"/>
    <d v="2026-06-01T00:00:00"/>
    <d v="2026-06-04T00:00:00"/>
    <d v="2026-06-01T00:00:00"/>
    <n v="1"/>
    <n v="1"/>
    <n v="100"/>
    <s v="SEM 23"/>
    <s v="Jun-2026"/>
    <x v="0"/>
    <n v="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593902"/>
    <n v="20"/>
    <s v="Standard"/>
    <s v="X"/>
    <d v="2026-05-13T00:00:00"/>
    <x v="157"/>
    <d v="2026-06-01T00:00:00"/>
    <d v="2026-06-05T00:00:00"/>
    <d v="2026-06-01T00:00:00"/>
    <n v="1"/>
    <n v="1"/>
    <n v="100"/>
    <s v="SEM 23"/>
    <s v="Jun-2026"/>
    <x v="0"/>
    <n v="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597302"/>
    <n v="2"/>
    <s v="Standard"/>
    <s v="X"/>
    <d v="2026-05-14T00:00:00"/>
    <x v="176"/>
    <d v="2026-06-01T00:00:00"/>
    <d v="2026-06-06T00:00:00"/>
    <d v="2026-06-01T00:00:00"/>
    <n v="1"/>
    <n v="1"/>
    <n v="100"/>
    <s v="SEM 23"/>
    <s v="Jun-2026"/>
    <x v="0"/>
    <n v="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602044"/>
    <n v="3"/>
    <s v="Standard"/>
    <s v="X"/>
    <d v="2026-05-14T00:00:00"/>
    <x v="176"/>
    <d v="2026-06-03T00:00:00"/>
    <d v="2026-06-06T00:00:00"/>
    <d v="2026-06-03T00:00:00"/>
    <n v="1"/>
    <n v="1"/>
    <n v="100"/>
    <s v="SEM 23"/>
    <s v="Jun-2026"/>
    <x v="0"/>
    <n v="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610121"/>
    <n v="1"/>
    <s v="Standard"/>
    <s v="X"/>
    <d v="2026-05-16T00:00:00"/>
    <x v="70"/>
    <d v="2026-06-03T00:00:00"/>
    <d v="2026-06-08T00:00:00"/>
    <d v="2026-06-03T00:00:00"/>
    <n v="1"/>
    <n v="1"/>
    <n v="100"/>
    <s v="SEM 24"/>
    <s v="Jun-2026"/>
    <x v="0"/>
    <n v="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610392"/>
    <n v="4"/>
    <s v="Standard"/>
    <s v="X"/>
    <d v="2026-05-16T00:00:00"/>
    <x v="70"/>
    <d v="2026-06-03T00:00:00"/>
    <d v="2026-06-08T00:00:00"/>
    <d v="2026-06-03T00:00:00"/>
    <n v="1"/>
    <n v="1"/>
    <n v="100"/>
    <s v="SEM 24"/>
    <s v="Jun-2026"/>
    <x v="0"/>
    <n v="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610507"/>
    <n v="4"/>
    <s v="Standard"/>
    <s v="X"/>
    <d v="2026-05-17T00:00:00"/>
    <x v="70"/>
    <d v="2026-06-03T00:00:00"/>
    <d v="2026-06-08T00:00:00"/>
    <d v="2026-06-03T00:00:00"/>
    <n v="1"/>
    <n v="1"/>
    <n v="100"/>
    <s v="SEM 24"/>
    <s v="Jun-2026"/>
    <x v="0"/>
    <n v="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612130"/>
    <n v="3"/>
    <s v="Standard"/>
    <s v="X"/>
    <d v="2026-05-17T00:00:00"/>
    <x v="170"/>
    <d v="2026-06-03T00:00:00"/>
    <d v="2026-06-09T00:00:00"/>
    <d v="2026-06-03T00:00:00"/>
    <n v="1"/>
    <n v="1"/>
    <n v="100"/>
    <s v="SEM 24"/>
    <s v="Jun-2026"/>
    <x v="0"/>
    <n v="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616972"/>
    <n v="2"/>
    <s v="Standard"/>
    <s v="X"/>
    <d v="2026-05-18T00:00:00"/>
    <x v="35"/>
    <d v="2026-06-03T00:00:00"/>
    <d v="2026-06-10T00:00:00"/>
    <d v="2026-06-03T00:00:00"/>
    <n v="1"/>
    <n v="1"/>
    <n v="100"/>
    <s v="SEM 24"/>
    <s v="Jun-2026"/>
    <x v="0"/>
    <n v="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880347"/>
    <n v="1"/>
    <s v="Standard"/>
    <s v="X"/>
    <d v="2026-07-10T00:00:00"/>
    <x v="38"/>
    <d v="2026-07-24T00:00:00"/>
    <d v="2026-08-02T00:00:00"/>
    <d v="2026-07-24T00:00:00"/>
    <n v="1"/>
    <n v="1"/>
    <n v="100"/>
    <s v="SEM 32"/>
    <s v="Aug-2026"/>
    <x v="0"/>
    <n v="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880641"/>
    <n v="3"/>
    <s v="Standard"/>
    <s v="X"/>
    <d v="2026-07-10T00:00:00"/>
    <x v="38"/>
    <d v="2026-07-24T00:00:00"/>
    <d v="2026-08-02T00:00:00"/>
    <d v="2026-07-24T00:00:00"/>
    <n v="1"/>
    <n v="1"/>
    <n v="100"/>
    <s v="SEM 32"/>
    <s v="Aug-2026"/>
    <x v="0"/>
    <n v="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882973"/>
    <n v="1"/>
    <s v="Standard"/>
    <s v="X"/>
    <d v="2026-07-11T00:00:00"/>
    <x v="30"/>
    <d v="2026-08-03T00:00:00"/>
    <d v="2026-08-03T00:00:00"/>
    <d v="2026-08-03T00:00:00"/>
    <n v="1"/>
    <n v="1"/>
    <n v="100"/>
    <s v="SEM 32"/>
    <s v="Aug-2026"/>
    <x v="0"/>
    <n v="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887476"/>
    <n v="1"/>
    <s v="Standard"/>
    <s v="X"/>
    <d v="2026-07-13T00:00:00"/>
    <x v="61"/>
    <d v="2026-08-03T00:00:00"/>
    <d v="2026-08-05T00:00:00"/>
    <d v="2026-08-03T00:00:00"/>
    <n v="1"/>
    <n v="1"/>
    <n v="100"/>
    <s v="SEM 32"/>
    <s v="Aug-2026"/>
    <x v="0"/>
    <n v="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889502"/>
    <n v="1"/>
    <s v="Standard"/>
    <s v="X"/>
    <d v="2026-07-13T00:00:00"/>
    <x v="61"/>
    <d v="2026-08-03T00:00:00"/>
    <d v="2026-08-05T00:00:00"/>
    <d v="2026-08-03T00:00:00"/>
    <n v="1"/>
    <n v="1"/>
    <n v="100"/>
    <s v="SEM 32"/>
    <s v="Aug-2026"/>
    <x v="0"/>
    <n v="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898257"/>
    <n v="2"/>
    <s v="Standard"/>
    <s v="X"/>
    <d v="2026-07-15T00:00:00"/>
    <x v="50"/>
    <d v="2026-08-03T00:00:00"/>
    <d v="2026-08-06T00:00:00"/>
    <d v="2026-08-03T00:00:00"/>
    <n v="1"/>
    <n v="1"/>
    <n v="100"/>
    <s v="SEM 32"/>
    <s v="Aug-2026"/>
    <x v="0"/>
    <n v="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903443"/>
    <n v="2"/>
    <s v="Standard"/>
    <s v="X"/>
    <d v="2026-07-15T00:00:00"/>
    <x v="210"/>
    <d v="2026-08-03T00:00:00"/>
    <d v="2026-08-07T00:00:00"/>
    <d v="2026-08-03T00:00:00"/>
    <n v="1"/>
    <n v="1"/>
    <n v="100"/>
    <s v="SEM 32"/>
    <s v="Aug-2026"/>
    <x v="0"/>
    <n v="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906910"/>
    <n v="6"/>
    <s v="Standard"/>
    <s v="X"/>
    <d v="2026-07-16T00:00:00"/>
    <x v="127"/>
    <d v="2026-08-03T00:00:00"/>
    <d v="2026-08-08T00:00:00"/>
    <d v="2026-08-03T00:00:00"/>
    <n v="1"/>
    <n v="1"/>
    <n v="100"/>
    <s v="SEM 32"/>
    <s v="Aug-2026"/>
    <x v="0"/>
    <n v="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908390"/>
    <n v="4"/>
    <s v="Standard"/>
    <s v="X"/>
    <d v="2026-07-16T00:00:00"/>
    <x v="127"/>
    <d v="2026-08-03T00:00:00"/>
    <d v="2026-08-08T00:00:00"/>
    <d v="2026-08-03T00:00:00"/>
    <n v="1"/>
    <n v="1"/>
    <n v="100"/>
    <s v="SEM 32"/>
    <s v="Aug-2026"/>
    <x v="0"/>
    <n v="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913479"/>
    <n v="17"/>
    <s v="Standard"/>
    <s v="X"/>
    <d v="2026-07-17T00:00:00"/>
    <x v="75"/>
    <d v="2026-08-03T00:00:00"/>
    <d v="2026-08-09T00:00:00"/>
    <d v="2026-08-03T00:00:00"/>
    <n v="1"/>
    <n v="1"/>
    <n v="100"/>
    <s v="SEM 33"/>
    <s v="Aug-2026"/>
    <x v="0"/>
    <n v="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916385"/>
    <n v="1"/>
    <s v="Standard"/>
    <s v="X"/>
    <d v="2026-07-18T00:00:00"/>
    <x v="142"/>
    <d v="2026-08-03T00:00:00"/>
    <d v="2026-08-10T00:00:00"/>
    <d v="2026-08-03T00:00:00"/>
    <n v="1"/>
    <n v="1"/>
    <n v="100"/>
    <s v="SEM 33"/>
    <s v="Aug-2026"/>
    <x v="0"/>
    <n v="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916677"/>
    <n v="2"/>
    <s v="Standard"/>
    <s v="X"/>
    <d v="2026-07-18T00:00:00"/>
    <x v="142"/>
    <d v="2026-08-03T00:00:00"/>
    <d v="2026-08-10T00:00:00"/>
    <d v="2026-08-03T00:00:00"/>
    <n v="1"/>
    <n v="1"/>
    <n v="100"/>
    <s v="SEM 33"/>
    <s v="Aug-2026"/>
    <x v="0"/>
    <n v="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917451"/>
    <n v="5"/>
    <s v="Standard"/>
    <s v="X"/>
    <d v="2026-07-19T00:00:00"/>
    <x v="9"/>
    <d v="2026-08-03T00:00:00"/>
    <d v="2026-08-11T00:00:00"/>
    <d v="2026-08-03T00:00:00"/>
    <n v="1"/>
    <n v="1"/>
    <n v="100"/>
    <s v="SEM 33"/>
    <s v="Aug-2026"/>
    <x v="0"/>
    <n v="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918923"/>
    <n v="1"/>
    <s v="Standard"/>
    <s v="X"/>
    <d v="2026-07-19T00:00:00"/>
    <x v="9"/>
    <d v="2026-08-03T00:00:00"/>
    <d v="2026-08-11T00:00:00"/>
    <d v="2026-08-03T00:00:00"/>
    <n v="1"/>
    <n v="1"/>
    <n v="100"/>
    <s v="SEM 33"/>
    <s v="Aug-2026"/>
    <x v="0"/>
    <n v="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925982"/>
    <n v="1"/>
    <s v="Standard"/>
    <s v="X"/>
    <d v="2026-07-21T00:00:00"/>
    <x v="230"/>
    <d v="2026-08-03T00:00:00"/>
    <d v="2026-08-12T00:00:00"/>
    <d v="2026-08-03T00:00:00"/>
    <n v="1"/>
    <n v="1"/>
    <n v="100"/>
    <s v="SEM 33"/>
    <s v="Aug-2026"/>
    <x v="0"/>
    <n v="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927426"/>
    <n v="4"/>
    <s v="Standard"/>
    <s v="X"/>
    <d v="2026-07-21T00:00:00"/>
    <x v="196"/>
    <d v="2026-08-03T00:00:00"/>
    <d v="2026-08-13T00:00:00"/>
    <d v="2026-08-03T00:00:00"/>
    <n v="1"/>
    <n v="1"/>
    <n v="100"/>
    <s v="SEM 33"/>
    <s v="Aug-2026"/>
    <x v="0"/>
    <n v="1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928768"/>
    <n v="1"/>
    <s v="Standard"/>
    <s v="X"/>
    <d v="2026-07-21T00:00:00"/>
    <x v="196"/>
    <d v="2026-08-03T00:00:00"/>
    <d v="2026-08-13T00:00:00"/>
    <d v="2026-08-03T00:00:00"/>
    <n v="1"/>
    <n v="1"/>
    <n v="100"/>
    <s v="SEM 33"/>
    <s v="Aug-2026"/>
    <x v="0"/>
    <n v="1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929100"/>
    <n v="3"/>
    <s v="Standard"/>
    <s v="X"/>
    <d v="2026-07-21T00:00:00"/>
    <x v="196"/>
    <d v="2026-08-03T00:00:00"/>
    <d v="2026-08-13T00:00:00"/>
    <d v="2026-08-03T00:00:00"/>
    <n v="1"/>
    <n v="1"/>
    <n v="100"/>
    <s v="SEM 33"/>
    <s v="Aug-2026"/>
    <x v="0"/>
    <n v="1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19354"/>
    <s v="FLASHLIGHT,1 X AA BA"/>
    <s v="4519931049"/>
    <n v="1"/>
    <s v="Standard"/>
    <s v="X"/>
    <d v="2026-07-21T00:00:00"/>
    <x v="196"/>
    <d v="2026-08-03T00:00:00"/>
    <d v="2026-08-13T00:00:00"/>
    <d v="2026-08-03T00:00:00"/>
    <n v="1"/>
    <n v="1"/>
    <n v="100"/>
    <s v="SEM 33"/>
    <s v="Aug-2026"/>
    <x v="0"/>
    <n v="1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41238"/>
    <s v="RAIL,GUIDE,SS,42 X 4"/>
    <s v="4518975976"/>
    <n v="18"/>
    <s v="Standard"/>
    <s v="X"/>
    <d v="2025-12-24T00:00:00"/>
    <x v="247"/>
    <d v="2026-01-12T00:00:00"/>
    <d v="2026-01-25T00:00:00"/>
    <d v="2026-01-12T00:00:00"/>
    <n v="1"/>
    <n v="1"/>
    <n v="100"/>
    <s v="SEM 5"/>
    <s v="Jan-2026"/>
    <x v="0"/>
    <n v="1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41238"/>
    <s v="RAIL,GUIDE,SS,42 X 4"/>
    <s v="4519045983"/>
    <n v="8"/>
    <s v="Standard"/>
    <s v="X"/>
    <d v="2026-01-11T00:00:00"/>
    <x v="58"/>
    <d v="2026-02-04T00:00:00"/>
    <d v="2026-02-13T00:00:00"/>
    <d v="2026-02-04T00:00:00"/>
    <n v="1"/>
    <n v="1"/>
    <n v="100"/>
    <s v="SEM 7"/>
    <s v="Feb-2026"/>
    <x v="0"/>
    <n v="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41238"/>
    <s v="RAIL,GUIDE,SS,42 X 4"/>
    <s v="4519080215"/>
    <n v="20"/>
    <s v="Standard"/>
    <s v="X"/>
    <d v="2026-01-19T00:00:00"/>
    <x v="158"/>
    <d v="2026-02-04T00:00:00"/>
    <d v="2026-02-21T00:00:00"/>
    <d v="2026-02-04T00:00:00"/>
    <n v="1"/>
    <n v="1"/>
    <n v="100"/>
    <s v="SEM 8"/>
    <s v="Feb-2026"/>
    <x v="0"/>
    <n v="1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41238"/>
    <s v="RAIL,GUIDE,SS,42 X 4"/>
    <s v="4519689780"/>
    <n v="8"/>
    <s v="Standard"/>
    <s v="X"/>
    <d v="2026-06-03T00:00:00"/>
    <x v="37"/>
    <d v="2026-07-02T00:00:00"/>
    <d v="2026-07-05T00:00:00"/>
    <d v="2026-07-02T00:00:00"/>
    <n v="1"/>
    <n v="1"/>
    <n v="100"/>
    <s v="SEM 28"/>
    <s v="Jul-2026"/>
    <x v="0"/>
    <n v="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41238"/>
    <s v="RAIL,GUIDE,SS,42 X 4"/>
    <s v="4519705279"/>
    <n v="20"/>
    <s v="Standard"/>
    <s v="X"/>
    <d v="2026-06-05T00:00:00"/>
    <x v="239"/>
    <d v="2026-07-01T00:00:00"/>
    <d v="2026-07-08T00:00:00"/>
    <d v="2026-07-01T00:00:00"/>
    <n v="1"/>
    <n v="1"/>
    <n v="100"/>
    <s v="SEM 28"/>
    <s v="Jul-2026"/>
    <x v="0"/>
    <n v="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341238"/>
    <s v="RAIL,GUIDE,SS,42 X 4"/>
    <s v="4519708139"/>
    <n v="8"/>
    <s v="Standard"/>
    <s v="X"/>
    <d v="2026-06-06T00:00:00"/>
    <x v="6"/>
    <d v="2026-07-02T00:00:00"/>
    <d v="2026-07-09T00:00:00"/>
    <d v="2026-07-02T00:00:00"/>
    <n v="1"/>
    <n v="1"/>
    <n v="100"/>
    <s v="SEM 28"/>
    <s v="Jul-2026"/>
    <x v="0"/>
    <n v="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420444"/>
    <s v="CABLE ASSY,PWR,ELEC,"/>
    <s v="4518992867"/>
    <n v="7"/>
    <s v="Standard"/>
    <s v="X"/>
    <d v="2025-12-29T00:00:00"/>
    <x v="11"/>
    <d v="2026-01-22T00:00:00"/>
    <d v="2026-01-27T00:00:00"/>
    <d v="2026-01-22T00:00:00"/>
    <n v="1"/>
    <n v="1"/>
    <n v="100"/>
    <s v="SEM 5"/>
    <s v="Jan-2026"/>
    <x v="0"/>
    <n v="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420444"/>
    <s v="CABLE ASSY,PWR,ELEC,"/>
    <s v="4519682842"/>
    <n v="8"/>
    <s v="Standard"/>
    <s v="X"/>
    <d v="2026-06-01T00:00:00"/>
    <x v="281"/>
    <d v="2026-07-01T00:00:00"/>
    <d v="2026-07-01T00:00:00"/>
    <d v="2026-07-01T00:00:00"/>
    <n v="1"/>
    <n v="1"/>
    <n v="100"/>
    <s v="SEM 27"/>
    <s v="Jul-2026"/>
    <x v="0"/>
    <n v="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429944"/>
    <s v="CIRCUIT CARD,MICRO S"/>
    <s v="4519009618"/>
    <n v="11"/>
    <s v="Standard"/>
    <s v="X"/>
    <d v="2026-01-02T00:00:00"/>
    <x v="77"/>
    <d v="2026-01-13T00:00:00"/>
    <d v="2026-02-01T00:00:00"/>
    <d v="2026-01-13T00:00:00"/>
    <n v="1"/>
    <n v="1"/>
    <n v="100"/>
    <s v="SEM 6"/>
    <s v="Feb-2026"/>
    <x v="0"/>
    <n v="1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429944"/>
    <s v="CIRCUIT CARD,MICRO S"/>
    <s v="4519378567"/>
    <n v="11"/>
    <s v="Standard"/>
    <s v="X"/>
    <d v="2026-03-27T00:00:00"/>
    <x v="282"/>
    <d v="2026-04-13T00:00:00"/>
    <d v="2026-04-26T00:00:00"/>
    <d v="2026-04-13T00:00:00"/>
    <n v="1"/>
    <n v="1"/>
    <n v="100"/>
    <s v="SEM 18"/>
    <s v="Apr-2026"/>
    <x v="0"/>
    <n v="1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429944"/>
    <s v="CIRCUIT CARD,MICRO S"/>
    <s v="4519440499"/>
    <n v="12"/>
    <s v="Standard"/>
    <s v="X"/>
    <d v="2026-04-10T00:00:00"/>
    <x v="115"/>
    <d v="2026-05-06T00:00:00"/>
    <d v="2026-05-10T00:00:00"/>
    <d v="2026-05-06T00:00:00"/>
    <n v="1"/>
    <n v="1"/>
    <n v="100"/>
    <s v="SEM 20"/>
    <s v="May-2026"/>
    <x v="0"/>
    <n v="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429944"/>
    <s v="CIRCUIT CARD,MICRO S"/>
    <s v="4519940242"/>
    <n v="7"/>
    <s v="Standard"/>
    <s v="X"/>
    <d v="2026-07-23T00:00:00"/>
    <x v="40"/>
    <d v="2026-08-05T00:00:00"/>
    <d v="2026-08-22T00:00:00"/>
    <d v="2026-08-05T00:00:00"/>
    <n v="1"/>
    <n v="1"/>
    <n v="100"/>
    <s v="SEM 34"/>
    <s v="Aug-2026"/>
    <x v="0"/>
    <n v="1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6"/>
    <s v="11429944"/>
    <s v="CIRCUIT CARD,MICRO S"/>
    <s v="4519976673"/>
    <n v="11"/>
    <s v="Standard"/>
    <s v="X"/>
    <d v="2026-07-31T00:00:00"/>
    <x v="128"/>
    <d v="2026-08-10T00:00:00"/>
    <d v="2026-08-30T00:00:00"/>
    <d v="2026-08-10T00:00:00"/>
    <n v="1"/>
    <n v="1"/>
    <n v="100"/>
    <s v="SEM 36"/>
    <s v="Aug-2026"/>
    <x v="0"/>
    <n v="2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326751"/>
    <s v="MODULE,A/I,30MA LOAD"/>
    <s v="4518984200"/>
    <n v="1"/>
    <s v="Standard"/>
    <s v="X"/>
    <d v="2025-12-26T00:00:00"/>
    <x v="189"/>
    <d v="2026-04-01T00:00:00"/>
    <d v="2026-04-28T00:00:00"/>
    <d v="2026-04-01T00:00:00"/>
    <n v="1"/>
    <n v="1"/>
    <n v="100"/>
    <s v="SEM 18"/>
    <s v="Apr-2026"/>
    <x v="0"/>
    <n v="2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326751"/>
    <s v="MODULE,A/I,30MA LOAD"/>
    <s v="4518996915"/>
    <n v="3"/>
    <s v="Standard"/>
    <s v="X"/>
    <d v="2025-12-30T00:00:00"/>
    <x v="183"/>
    <d v="2026-04-07T00:00:00"/>
    <d v="2026-05-02T00:00:00"/>
    <d v="2026-04-07T00:00:00"/>
    <n v="1"/>
    <n v="1"/>
    <n v="100"/>
    <s v="SEM 18"/>
    <s v="May-2026"/>
    <x v="0"/>
    <n v="2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326751"/>
    <s v="MODULE,A/I,30MA LOAD"/>
    <s v="4519010593"/>
    <n v="8"/>
    <s v="Standard"/>
    <s v="X"/>
    <d v="2026-01-03T00:00:00"/>
    <x v="139"/>
    <d v="2026-05-04T00:00:00"/>
    <d v="2026-05-05T00:00:00"/>
    <d v="2026-05-04T00:00:00"/>
    <n v="1"/>
    <n v="1"/>
    <n v="100"/>
    <s v="SEM 19"/>
    <s v="May-2026"/>
    <x v="0"/>
    <n v="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326751"/>
    <s v="MODULE,A/I,30MA LOAD"/>
    <s v="4519148760"/>
    <n v="4"/>
    <s v="Standard"/>
    <s v="X"/>
    <d v="2026-02-04T00:00:00"/>
    <x v="184"/>
    <d v="2026-06-01T00:00:00"/>
    <d v="2026-06-07T00:00:00"/>
    <d v="2026-06-01T00:00:00"/>
    <n v="1"/>
    <n v="1"/>
    <n v="100"/>
    <s v="SEM 24"/>
    <s v="Jun-2026"/>
    <x v="0"/>
    <n v="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326751"/>
    <s v="MODULE,A/I,30MA LOAD"/>
    <s v="4519287457"/>
    <n v="5"/>
    <s v="Standard"/>
    <s v="X"/>
    <d v="2026-03-08T00:00:00"/>
    <x v="6"/>
    <d v="2026-07-01T00:00:00"/>
    <d v="2026-07-09T00:00:00"/>
    <d v="2026-07-01T00:00:00"/>
    <n v="1"/>
    <n v="1"/>
    <n v="100"/>
    <s v="SEM 28"/>
    <s v="Jul-2026"/>
    <x v="0"/>
    <n v="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326751"/>
    <s v="MODULE,A/I,30MA LOAD"/>
    <s v="4519405058"/>
    <n v="11"/>
    <s v="Standard"/>
    <s v="X"/>
    <d v="2026-04-02T00:00:00"/>
    <x v="30"/>
    <d v="2026-08-03T00:00:00"/>
    <d v="2026-08-03T00:00:00"/>
    <d v="2026-08-03T00:00:00"/>
    <n v="1"/>
    <n v="1"/>
    <n v="100"/>
    <s v="SEM 32"/>
    <s v="Aug-2026"/>
    <x v="0"/>
    <n v="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326751"/>
    <s v="MODULE,A/I,30MA LOAD"/>
    <s v="4519795944"/>
    <n v="6"/>
    <s v="Standard"/>
    <s v="#"/>
    <d v="2026-06-24T00:00:00"/>
    <x v="181"/>
    <s v="#"/>
    <d v="2026-10-25T00:00:00"/>
    <d v="2026-06-24T00:00:00"/>
    <n v="1"/>
    <n v="0"/>
    <n v="0"/>
    <s v="SEM 44"/>
    <s v="Oct-2026"/>
    <x v="2"/>
    <n v="6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326751"/>
    <s v="MODULE,A/I,30MA LOAD"/>
    <s v="4519903184"/>
    <n v="2"/>
    <s v="Standard"/>
    <s v="#"/>
    <d v="2026-07-15T00:00:00"/>
    <x v="283"/>
    <s v="#"/>
    <d v="2026-11-15T00:00:00"/>
    <d v="2026-07-15T00:00:00"/>
    <n v="1"/>
    <n v="0"/>
    <n v="0"/>
    <s v="SEM 47"/>
    <s v="Nov-2026"/>
    <x v="2"/>
    <n v="8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383742"/>
    <s v="MODULE,PLC,SIEMENS 6"/>
    <s v="4518597236"/>
    <n v="2"/>
    <s v="Standard"/>
    <s v="X"/>
    <d v="2025-09-26T00:00:00"/>
    <x v="11"/>
    <d v="2026-01-02T00:00:00"/>
    <d v="2026-01-27T00:00:00"/>
    <d v="2026-01-02T00:00:00"/>
    <n v="1"/>
    <n v="1"/>
    <n v="100"/>
    <s v="SEM 5"/>
    <s v="Jan-2026"/>
    <x v="0"/>
    <n v="2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1"/>
    <s v="SOCKET,E,PLUG,PATTON"/>
    <s v="4518520097"/>
    <n v="6"/>
    <s v="Standard"/>
    <s v="X"/>
    <d v="2025-09-09T00:00:00"/>
    <x v="190"/>
    <d v="2026-01-02T00:00:00"/>
    <d v="2026-01-10T00:00:00"/>
    <d v="2026-01-02T00:00:00"/>
    <n v="1"/>
    <n v="1"/>
    <n v="100"/>
    <s v="SEM 2"/>
    <s v="Jan-2026"/>
    <x v="0"/>
    <n v="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1"/>
    <s v="SOCKET,E,PLUG,PATTON"/>
    <s v="4518534951"/>
    <n v="10"/>
    <s v="Standard"/>
    <s v="X"/>
    <d v="2025-09-12T00:00:00"/>
    <x v="169"/>
    <d v="2026-02-12T00:00:00"/>
    <d v="2026-01-13T00:00:00"/>
    <d v="2026-02-12T00:00:00"/>
    <n v="1"/>
    <n v="0"/>
    <n v="0"/>
    <s v="SEM 3"/>
    <s v="Jan-2026"/>
    <x v="0"/>
    <n v="-30"/>
    <x v="1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1"/>
    <s v="SOCKET,E,PLUG,PATTON"/>
    <s v="4518624640"/>
    <n v="3"/>
    <s v="Standard"/>
    <s v="X"/>
    <d v="2025-10-02T00:00:00"/>
    <x v="194"/>
    <d v="2026-02-12T00:00:00"/>
    <d v="2026-02-02T00:00:00"/>
    <d v="2026-02-12T00:00:00"/>
    <n v="1"/>
    <n v="0"/>
    <n v="0"/>
    <s v="SEM 6"/>
    <s v="Feb-2026"/>
    <x v="0"/>
    <n v="-10"/>
    <x v="1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1"/>
    <s v="SOCKET,E,PLUG,PATTON"/>
    <s v="4519050381"/>
    <n v="1"/>
    <s v="Standard"/>
    <s v="X"/>
    <d v="2026-01-12T00:00:00"/>
    <x v="257"/>
    <d v="2026-05-04T00:00:00"/>
    <d v="2026-05-15T00:00:00"/>
    <d v="2026-05-04T00:00:00"/>
    <n v="1"/>
    <n v="1"/>
    <n v="100"/>
    <s v="SEM 20"/>
    <s v="May-2026"/>
    <x v="0"/>
    <n v="1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1"/>
    <s v="SOCKET,E,PLUG,PATTON"/>
    <s v="4519074334"/>
    <n v="2"/>
    <s v="Standard"/>
    <s v="X"/>
    <d v="2026-01-18T00:00:00"/>
    <x v="234"/>
    <d v="2026-05-04T00:00:00"/>
    <d v="2026-05-21T00:00:00"/>
    <d v="2026-05-04T00:00:00"/>
    <n v="1"/>
    <n v="1"/>
    <n v="100"/>
    <s v="SEM 21"/>
    <s v="May-2026"/>
    <x v="0"/>
    <n v="1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1"/>
    <s v="SOCKET,E,PLUG,PATTON"/>
    <s v="4519102770"/>
    <n v="2"/>
    <s v="Standard"/>
    <s v="X"/>
    <d v="2026-01-25T00:00:00"/>
    <x v="156"/>
    <d v="2026-05-04T00:00:00"/>
    <d v="2026-05-28T00:00:00"/>
    <d v="2026-05-04T00:00:00"/>
    <n v="1"/>
    <n v="1"/>
    <n v="100"/>
    <s v="SEM 22"/>
    <s v="May-2026"/>
    <x v="0"/>
    <n v="2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1"/>
    <s v="SOCKET,E,PLUG,PATTON"/>
    <s v="4519131268"/>
    <n v="2"/>
    <s v="Standard"/>
    <s v="X"/>
    <d v="2026-02-01T00:00:00"/>
    <x v="109"/>
    <d v="2026-06-01T00:00:00"/>
    <d v="2026-06-04T00:00:00"/>
    <d v="2026-06-01T00:00:00"/>
    <n v="1"/>
    <n v="1"/>
    <n v="100"/>
    <s v="SEM 23"/>
    <s v="Jun-2026"/>
    <x v="0"/>
    <n v="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1"/>
    <s v="SOCKET,E,PLUG,PATTON"/>
    <s v="4519162963"/>
    <n v="2"/>
    <s v="Standard"/>
    <s v="X"/>
    <d v="2026-02-08T00:00:00"/>
    <x v="252"/>
    <d v="2026-06-01T00:00:00"/>
    <d v="2026-06-11T00:00:00"/>
    <d v="2026-06-01T00:00:00"/>
    <n v="1"/>
    <n v="1"/>
    <n v="100"/>
    <s v="SEM 24"/>
    <s v="Jun-2026"/>
    <x v="0"/>
    <n v="1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1"/>
    <s v="SOCKET,E,PLUG,PATTON"/>
    <s v="4519283963"/>
    <n v="3"/>
    <s v="Standard"/>
    <s v="X"/>
    <d v="2026-03-07T00:00:00"/>
    <x v="239"/>
    <d v="2026-07-01T00:00:00"/>
    <d v="2026-07-08T00:00:00"/>
    <d v="2026-07-01T00:00:00"/>
    <n v="1"/>
    <n v="1"/>
    <n v="100"/>
    <s v="SEM 28"/>
    <s v="Jul-2026"/>
    <x v="0"/>
    <n v="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1"/>
    <s v="SOCKET,E,PLUG,PATTON"/>
    <s v="4519721444"/>
    <n v="9"/>
    <s v="Standard"/>
    <s v="#"/>
    <d v="2026-06-09T00:00:00"/>
    <x v="284"/>
    <s v="#"/>
    <d v="2026-10-10T00:00:00"/>
    <d v="2026-06-09T00:00:00"/>
    <n v="1"/>
    <n v="0"/>
    <n v="0"/>
    <s v="SEM 41"/>
    <s v="Oct-2026"/>
    <x v="2"/>
    <n v="5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1"/>
    <s v="SOCKET,E,PLUG,PATTON"/>
    <s v="4519783782"/>
    <n v="1"/>
    <s v="Standard"/>
    <s v="#"/>
    <d v="2026-06-22T00:00:00"/>
    <x v="217"/>
    <s v="#"/>
    <d v="2026-10-23T00:00:00"/>
    <d v="2026-06-22T00:00:00"/>
    <n v="1"/>
    <n v="0"/>
    <n v="0"/>
    <s v="SEM 43"/>
    <s v="Oct-2026"/>
    <x v="2"/>
    <n v="6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1"/>
    <s v="SOCKET,E,PLUG,PATTON"/>
    <s v="4519819582"/>
    <n v="2"/>
    <s v="Standard"/>
    <s v="#"/>
    <d v="2026-06-29T00:00:00"/>
    <x v="285"/>
    <s v="#"/>
    <d v="2026-10-30T00:00:00"/>
    <d v="2026-06-29T00:00:00"/>
    <n v="1"/>
    <n v="0"/>
    <n v="0"/>
    <s v="SEM 44"/>
    <s v="Oct-2026"/>
    <x v="2"/>
    <n v="7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1"/>
    <s v="SOCKET,E,PLUG,PATTON"/>
    <s v="4519850942"/>
    <n v="2"/>
    <s v="Standard"/>
    <s v="#"/>
    <d v="2026-07-05T00:00:00"/>
    <x v="218"/>
    <s v="#"/>
    <d v="2026-11-05T00:00:00"/>
    <d v="2026-07-05T00:00:00"/>
    <n v="1"/>
    <n v="0"/>
    <n v="0"/>
    <s v="SEM 45"/>
    <s v="Nov-2026"/>
    <x v="2"/>
    <n v="7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1"/>
    <s v="SOCKET,E,PLUG,PATTON"/>
    <s v="4519885970"/>
    <n v="2"/>
    <s v="Standard"/>
    <s v="#"/>
    <d v="2026-07-12T00:00:00"/>
    <x v="266"/>
    <s v="#"/>
    <d v="2026-11-12T00:00:00"/>
    <d v="2026-07-12T00:00:00"/>
    <n v="1"/>
    <n v="0"/>
    <n v="0"/>
    <s v="SEM 46"/>
    <s v="Nov-2026"/>
    <x v="2"/>
    <n v="8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1"/>
    <s v="SOCKET,E,PLUG,PATTON"/>
    <s v="4519918924"/>
    <n v="2"/>
    <s v="Standard"/>
    <s v="#"/>
    <d v="2026-07-19T00:00:00"/>
    <x v="220"/>
    <s v="#"/>
    <d v="2026-11-19T00:00:00"/>
    <d v="2026-07-19T00:00:00"/>
    <n v="1"/>
    <n v="0"/>
    <n v="0"/>
    <s v="SEM 47"/>
    <s v="Nov-2026"/>
    <x v="2"/>
    <n v="9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1"/>
    <s v="SOCKET,E,PLUG,PATTON"/>
    <s v="4519951620"/>
    <n v="2"/>
    <s v="Standard"/>
    <s v="#"/>
    <d v="2026-07-26T00:00:00"/>
    <x v="221"/>
    <s v="#"/>
    <d v="2026-11-26T00:00:00"/>
    <d v="2026-07-26T00:00:00"/>
    <n v="1"/>
    <n v="0"/>
    <n v="0"/>
    <s v="SEM 48"/>
    <s v="Nov-2026"/>
    <x v="2"/>
    <n v="10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2"/>
    <s v="SOCKET,PILOT,PLUG,PA"/>
    <s v="4518520100"/>
    <n v="3"/>
    <s v="Standard"/>
    <s v="X"/>
    <d v="2025-09-09T00:00:00"/>
    <x v="190"/>
    <d v="2026-01-02T00:00:00"/>
    <d v="2026-01-10T00:00:00"/>
    <d v="2026-01-02T00:00:00"/>
    <n v="1"/>
    <n v="1"/>
    <n v="100"/>
    <s v="SEM 2"/>
    <s v="Jan-2026"/>
    <x v="0"/>
    <n v="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2"/>
    <s v="SOCKET,PILOT,PLUG,PA"/>
    <s v="4518534953"/>
    <n v="6"/>
    <s v="Standard"/>
    <s v="X"/>
    <d v="2025-09-12T00:00:00"/>
    <x v="169"/>
    <d v="2026-01-20T00:00:00"/>
    <d v="2026-01-13T00:00:00"/>
    <d v="2026-01-20T00:00:00"/>
    <n v="1"/>
    <n v="0"/>
    <n v="0"/>
    <s v="SEM 3"/>
    <s v="Jan-2026"/>
    <x v="0"/>
    <n v="-7"/>
    <x v="1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2"/>
    <s v="SOCKET,PILOT,PLUG,PA"/>
    <s v="4518624641"/>
    <n v="1"/>
    <s v="Standard"/>
    <s v="X"/>
    <d v="2025-10-02T00:00:00"/>
    <x v="194"/>
    <d v="2026-02-02T00:00:00"/>
    <d v="2026-02-02T00:00:00"/>
    <d v="2026-02-02T00:00:00"/>
    <n v="1"/>
    <n v="1"/>
    <n v="100"/>
    <s v="SEM 6"/>
    <s v="Feb-2026"/>
    <x v="0"/>
    <n v="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2"/>
    <s v="SOCKET,PILOT,PLUG,PA"/>
    <s v="4519050382"/>
    <n v="1"/>
    <s v="Standard"/>
    <s v="X"/>
    <d v="2026-01-12T00:00:00"/>
    <x v="257"/>
    <d v="2026-05-04T00:00:00"/>
    <d v="2026-05-15T00:00:00"/>
    <d v="2026-05-04T00:00:00"/>
    <n v="1"/>
    <n v="1"/>
    <n v="100"/>
    <s v="SEM 20"/>
    <s v="May-2026"/>
    <x v="0"/>
    <n v="1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2"/>
    <s v="SOCKET,PILOT,PLUG,PA"/>
    <s v="4519074336"/>
    <n v="1"/>
    <s v="Standard"/>
    <s v="X"/>
    <d v="2026-01-18T00:00:00"/>
    <x v="234"/>
    <d v="2026-05-04T00:00:00"/>
    <d v="2026-05-21T00:00:00"/>
    <d v="2026-05-04T00:00:00"/>
    <n v="1"/>
    <n v="1"/>
    <n v="100"/>
    <s v="SEM 21"/>
    <s v="May-2026"/>
    <x v="0"/>
    <n v="1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2"/>
    <s v="SOCKET,PILOT,PLUG,PA"/>
    <s v="4519102771"/>
    <n v="1"/>
    <s v="Standard"/>
    <s v="X"/>
    <d v="2026-01-25T00:00:00"/>
    <x v="156"/>
    <d v="2026-05-04T00:00:00"/>
    <d v="2026-05-28T00:00:00"/>
    <d v="2026-05-04T00:00:00"/>
    <n v="1"/>
    <n v="1"/>
    <n v="100"/>
    <s v="SEM 22"/>
    <s v="May-2026"/>
    <x v="0"/>
    <n v="2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2"/>
    <s v="SOCKET,PILOT,PLUG,PA"/>
    <s v="4519131269"/>
    <n v="1"/>
    <s v="Standard"/>
    <s v="X"/>
    <d v="2026-02-01T00:00:00"/>
    <x v="109"/>
    <d v="2026-06-01T00:00:00"/>
    <d v="2026-06-04T00:00:00"/>
    <d v="2026-06-01T00:00:00"/>
    <n v="1"/>
    <n v="1"/>
    <n v="100"/>
    <s v="SEM 23"/>
    <s v="Jun-2026"/>
    <x v="0"/>
    <n v="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2"/>
    <s v="SOCKET,PILOT,PLUG,PA"/>
    <s v="4519162965"/>
    <n v="1"/>
    <s v="Standard"/>
    <s v="X"/>
    <d v="2026-02-08T00:00:00"/>
    <x v="252"/>
    <d v="2026-06-01T00:00:00"/>
    <d v="2026-06-11T00:00:00"/>
    <d v="2026-06-01T00:00:00"/>
    <n v="1"/>
    <n v="1"/>
    <n v="100"/>
    <s v="SEM 24"/>
    <s v="Jun-2026"/>
    <x v="0"/>
    <n v="1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2"/>
    <s v="SOCKET,PILOT,PLUG,PA"/>
    <s v="4519641998"/>
    <n v="1"/>
    <s v="Standard"/>
    <s v="#"/>
    <d v="2026-05-22T00:00:00"/>
    <x v="172"/>
    <s v="#"/>
    <d v="2026-09-22T00:00:00"/>
    <d v="2026-05-22T00:00:00"/>
    <n v="1"/>
    <n v="0"/>
    <n v="0"/>
    <s v="SEM 39"/>
    <s v="Sep-2026"/>
    <x v="2"/>
    <n v="3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2"/>
    <s v="SOCKET,PILOT,PLUG,PA"/>
    <s v="4519721453"/>
    <n v="3"/>
    <s v="Standard"/>
    <s v="#"/>
    <d v="2026-06-09T00:00:00"/>
    <x v="284"/>
    <s v="#"/>
    <d v="2026-10-10T00:00:00"/>
    <d v="2026-06-09T00:00:00"/>
    <n v="1"/>
    <n v="0"/>
    <n v="0"/>
    <s v="SEM 41"/>
    <s v="Oct-2026"/>
    <x v="2"/>
    <n v="5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2"/>
    <s v="SOCKET,PILOT,PLUG,PA"/>
    <s v="4519721738"/>
    <n v="1"/>
    <s v="Standard"/>
    <s v="#"/>
    <d v="2026-06-09T00:00:00"/>
    <x v="284"/>
    <s v="#"/>
    <d v="2026-10-10T00:00:00"/>
    <d v="2026-06-09T00:00:00"/>
    <n v="1"/>
    <n v="0"/>
    <n v="0"/>
    <s v="SEM 41"/>
    <s v="Oct-2026"/>
    <x v="2"/>
    <n v="5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2"/>
    <s v="SOCKET,PILOT,PLUG,PA"/>
    <s v="4519783783"/>
    <n v="1"/>
    <s v="Standard"/>
    <s v="#"/>
    <d v="2026-06-22T00:00:00"/>
    <x v="217"/>
    <s v="#"/>
    <d v="2026-10-23T00:00:00"/>
    <d v="2026-06-22T00:00:00"/>
    <n v="1"/>
    <n v="0"/>
    <n v="0"/>
    <s v="SEM 43"/>
    <s v="Oct-2026"/>
    <x v="2"/>
    <n v="6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2"/>
    <s v="SOCKET,PILOT,PLUG,PA"/>
    <s v="4519819583"/>
    <n v="1"/>
    <s v="Standard"/>
    <s v="#"/>
    <d v="2026-06-29T00:00:00"/>
    <x v="285"/>
    <s v="#"/>
    <d v="2026-10-30T00:00:00"/>
    <d v="2026-06-29T00:00:00"/>
    <n v="1"/>
    <n v="0"/>
    <n v="0"/>
    <s v="SEM 44"/>
    <s v="Oct-2026"/>
    <x v="2"/>
    <n v="7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2"/>
    <s v="SOCKET,PILOT,PLUG,PA"/>
    <s v="4519850943"/>
    <n v="1"/>
    <s v="Standard"/>
    <s v="#"/>
    <d v="2026-07-05T00:00:00"/>
    <x v="218"/>
    <s v="#"/>
    <d v="2026-11-05T00:00:00"/>
    <d v="2026-07-05T00:00:00"/>
    <n v="1"/>
    <n v="0"/>
    <n v="0"/>
    <s v="SEM 45"/>
    <s v="Nov-2026"/>
    <x v="2"/>
    <n v="7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2"/>
    <s v="SOCKET,PILOT,PLUG,PA"/>
    <s v="4519885971"/>
    <n v="1"/>
    <s v="Standard"/>
    <s v="#"/>
    <d v="2026-07-12T00:00:00"/>
    <x v="266"/>
    <s v="#"/>
    <d v="2026-11-12T00:00:00"/>
    <d v="2026-07-12T00:00:00"/>
    <n v="1"/>
    <n v="0"/>
    <n v="0"/>
    <s v="SEM 46"/>
    <s v="Nov-2026"/>
    <x v="2"/>
    <n v="8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2"/>
    <s v="SOCKET,PILOT,PLUG,PA"/>
    <s v="4519918925"/>
    <n v="1"/>
    <s v="Standard"/>
    <s v="#"/>
    <d v="2026-07-19T00:00:00"/>
    <x v="220"/>
    <s v="#"/>
    <d v="2026-11-19T00:00:00"/>
    <d v="2026-07-19T00:00:00"/>
    <n v="1"/>
    <n v="0"/>
    <n v="0"/>
    <s v="SEM 47"/>
    <s v="Nov-2026"/>
    <x v="2"/>
    <n v="9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2"/>
    <s v="SOCKET,PILOT,PLUG,PA"/>
    <s v="4519951621"/>
    <n v="1"/>
    <s v="Standard"/>
    <s v="#"/>
    <d v="2026-07-26T00:00:00"/>
    <x v="221"/>
    <s v="#"/>
    <d v="2026-11-26T00:00:00"/>
    <d v="2026-07-26T00:00:00"/>
    <n v="1"/>
    <n v="0"/>
    <n v="0"/>
    <s v="SEM 48"/>
    <s v="Nov-2026"/>
    <x v="2"/>
    <n v="10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1272"/>
    <s v="SOCKET,PILOT,PLUG,PA"/>
    <s v="4519976674"/>
    <n v="5"/>
    <s v="Standard"/>
    <s v="#"/>
    <d v="2026-07-31T00:00:00"/>
    <x v="286"/>
    <s v="#"/>
    <d v="2026-12-01T00:00:00"/>
    <d v="2026-07-31T00:00:00"/>
    <n v="1"/>
    <n v="0"/>
    <n v="0"/>
    <s v="SEM 49"/>
    <s v="Dec-2026"/>
    <x v="2"/>
    <n v="10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4842"/>
    <s v="PROCESSOR,PLC,SIEMEN"/>
    <s v="4519309637"/>
    <n v="9"/>
    <s v="Standard"/>
    <s v="X"/>
    <d v="2026-03-13T00:00:00"/>
    <x v="0"/>
    <d v="2026-07-01T00:00:00"/>
    <d v="2026-07-13T00:00:00"/>
    <d v="2026-07-01T00:00:00"/>
    <n v="1"/>
    <n v="1"/>
    <n v="100"/>
    <s v="SEM 29"/>
    <s v="Jul-2026"/>
    <x v="0"/>
    <n v="1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4842"/>
    <s v="PROCESSOR,PLC,SIEMEN"/>
    <s v="4519543857"/>
    <n v="7"/>
    <s v="Standard"/>
    <s v="#"/>
    <d v="2026-05-04T00:00:00"/>
    <x v="287"/>
    <s v="#"/>
    <d v="2026-09-03T00:00:00"/>
    <d v="2026-05-04T00:00:00"/>
    <n v="1"/>
    <n v="0"/>
    <n v="0"/>
    <s v="SEM 36"/>
    <s v="Sep-2026"/>
    <x v="2"/>
    <n v="1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4842"/>
    <s v="PROCESSOR,PLC,SIEMEN"/>
    <s v="4519677176"/>
    <n v="4"/>
    <s v="Standard"/>
    <s v="#"/>
    <d v="2026-05-31T00:00:00"/>
    <x v="262"/>
    <s v="#"/>
    <d v="2026-10-01T00:00:00"/>
    <d v="2026-05-31T00:00:00"/>
    <n v="1"/>
    <n v="0"/>
    <n v="0"/>
    <s v="SEM 40"/>
    <s v="Oct-2026"/>
    <x v="2"/>
    <n v="4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6064"/>
    <s v="ENCODER,HOIST,BAUMHU"/>
    <s v="4518992869"/>
    <n v="1"/>
    <s v="Standard"/>
    <s v="X"/>
    <d v="2025-12-29T00:00:00"/>
    <x v="96"/>
    <d v="2026-02-04T00:00:00"/>
    <d v="2026-02-09T00:00:00"/>
    <d v="2026-02-04T00:00:00"/>
    <n v="1"/>
    <n v="1"/>
    <n v="100"/>
    <s v="SEM 7"/>
    <s v="Feb-2026"/>
    <x v="0"/>
    <n v="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6064"/>
    <s v="ENCODER,HOIST,BAUMHU"/>
    <s v="4519001105"/>
    <n v="1"/>
    <s v="Standard"/>
    <s v="X"/>
    <d v="2025-12-31T00:00:00"/>
    <x v="121"/>
    <d v="2026-02-04T00:00:00"/>
    <d v="2026-02-12T00:00:00"/>
    <d v="2026-02-04T00:00:00"/>
    <n v="1"/>
    <n v="1"/>
    <n v="100"/>
    <s v="SEM 7"/>
    <s v="Feb-2026"/>
    <x v="0"/>
    <n v="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6064"/>
    <s v="ENCODER,HOIST,BAUMHU"/>
    <s v="4519069038"/>
    <n v="1"/>
    <s v="Standard"/>
    <s v="X"/>
    <d v="2026-01-16T00:00:00"/>
    <x v="27"/>
    <d v="2026-02-18T00:00:00"/>
    <d v="2026-02-28T00:00:00"/>
    <d v="2026-02-18T00:00:00"/>
    <n v="1"/>
    <n v="1"/>
    <n v="100"/>
    <s v="SEM 9"/>
    <s v="Feb-2026"/>
    <x v="0"/>
    <n v="1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6162"/>
    <s v="INVERTER,FREQ,SIEMEN"/>
    <s v="4519533932"/>
    <n v="2"/>
    <s v="Standard"/>
    <s v="#"/>
    <d v="2026-04-30T00:00:00"/>
    <x v="288"/>
    <s v="#"/>
    <d v="2026-10-31T00:00:00"/>
    <d v="2026-07-06T00:00:00"/>
    <n v="1"/>
    <n v="0"/>
    <n v="0"/>
    <s v="SEM 44"/>
    <s v="Oct-2026"/>
    <x v="2"/>
    <n v="7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6344"/>
    <s v="COUPLER,DP/DP,SIEMEN"/>
    <s v="4518493082"/>
    <n v="1"/>
    <s v="Standard"/>
    <s v="X"/>
    <d v="2025-09-03T00:00:00"/>
    <x v="4"/>
    <d v="2026-03-02T00:00:00"/>
    <d v="2026-03-04T00:00:00"/>
    <d v="2026-03-02T00:00:00"/>
    <n v="1"/>
    <n v="1"/>
    <n v="100"/>
    <s v="SEM 10"/>
    <s v="Mar-2026"/>
    <x v="0"/>
    <n v="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6344"/>
    <s v="COUPLER,DP/DP,SIEMEN"/>
    <s v="4519682843"/>
    <n v="8"/>
    <s v="Standard"/>
    <s v="#"/>
    <d v="2026-06-01T00:00:00"/>
    <x v="255"/>
    <s v="#"/>
    <d v="2026-10-02T00:00:00"/>
    <d v="2026-06-01T00:00:00"/>
    <n v="1"/>
    <n v="0"/>
    <n v="0"/>
    <s v="SEM 40"/>
    <s v="Oct-2026"/>
    <x v="2"/>
    <n v="4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9338"/>
    <s v="COUPLER,PATTON&amp;C C80"/>
    <s v="4519721454"/>
    <n v="1"/>
    <s v="Standard"/>
    <s v="#"/>
    <d v="2026-06-09T00:00:00"/>
    <x v="284"/>
    <s v="#"/>
    <d v="2026-10-10T00:00:00"/>
    <d v="2026-06-09T00:00:00"/>
    <n v="1"/>
    <n v="0"/>
    <n v="0"/>
    <s v="SEM 41"/>
    <s v="Oct-2026"/>
    <x v="2"/>
    <n v="5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9338"/>
    <s v="COUPLER,PATTON&amp;C C80"/>
    <s v="4519839628"/>
    <n v="1"/>
    <s v="Standard"/>
    <s v="#"/>
    <d v="2026-07-02T00:00:00"/>
    <x v="289"/>
    <s v="#"/>
    <d v="2026-11-02T00:00:00"/>
    <d v="2026-07-02T00:00:00"/>
    <n v="1"/>
    <n v="0"/>
    <n v="0"/>
    <s v="SEM 45"/>
    <s v="Nov-2026"/>
    <x v="2"/>
    <n v="7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9344"/>
    <s v="PLUG,COUPLER,M,PATTO"/>
    <s v="4518520928"/>
    <n v="1"/>
    <s v="Standard"/>
    <s v="X"/>
    <d v="2025-09-09T00:00:00"/>
    <x v="190"/>
    <d v="2026-02-10T00:00:00"/>
    <d v="2026-01-10T00:00:00"/>
    <d v="2026-02-10T00:00:00"/>
    <n v="1"/>
    <n v="0"/>
    <n v="0"/>
    <s v="SEM 2"/>
    <s v="Jan-2026"/>
    <x v="0"/>
    <n v="-31"/>
    <x v="1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9344"/>
    <s v="PLUG,COUPLER,M,PATTO"/>
    <s v="4519246768"/>
    <n v="1"/>
    <s v="Standard"/>
    <s v="X"/>
    <d v="2026-02-26T00:00:00"/>
    <x v="274"/>
    <d v="2026-06-01T00:00:00"/>
    <d v="2026-06-29T00:00:00"/>
    <d v="2026-06-01T00:00:00"/>
    <n v="1"/>
    <n v="1"/>
    <n v="100"/>
    <s v="SEM 27"/>
    <s v="Jun-2026"/>
    <x v="0"/>
    <n v="2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9344"/>
    <s v="PLUG,COUPLER,M,PATTO"/>
    <s v="4519727354"/>
    <n v="2"/>
    <s v="Standard"/>
    <s v="#"/>
    <d v="2026-06-10T00:00:00"/>
    <x v="290"/>
    <s v="#"/>
    <d v="2026-10-11T00:00:00"/>
    <d v="2026-06-10T00:00:00"/>
    <n v="1"/>
    <n v="0"/>
    <n v="0"/>
    <s v="SEM 42"/>
    <s v="Oct-2026"/>
    <x v="2"/>
    <n v="5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9428"/>
    <s v="TERMINATION KIT,COUP"/>
    <s v="4518520102"/>
    <n v="3"/>
    <s v="Standard"/>
    <s v="X"/>
    <d v="2025-09-09T00:00:00"/>
    <x v="190"/>
    <d v="2026-01-02T00:00:00"/>
    <d v="2026-01-10T00:00:00"/>
    <d v="2026-01-02T00:00:00"/>
    <n v="1"/>
    <n v="1"/>
    <n v="100"/>
    <s v="SEM 2"/>
    <s v="Jan-2026"/>
    <x v="0"/>
    <n v="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9428"/>
    <s v="TERMINATION KIT,COUP"/>
    <s v="4519020072"/>
    <n v="3"/>
    <s v="Standard"/>
    <s v="X"/>
    <d v="2026-01-05T00:00:00"/>
    <x v="265"/>
    <d v="2026-05-04T00:00:00"/>
    <d v="2026-05-08T00:00:00"/>
    <d v="2026-05-04T00:00:00"/>
    <n v="1"/>
    <n v="1"/>
    <n v="100"/>
    <s v="SEM 19"/>
    <s v="May-2026"/>
    <x v="0"/>
    <n v="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9428"/>
    <s v="TERMINATION KIT,COUP"/>
    <s v="4519102582"/>
    <n v="3"/>
    <s v="Standard"/>
    <s v="X"/>
    <d v="2026-01-25T00:00:00"/>
    <x v="156"/>
    <d v="2026-05-04T00:00:00"/>
    <d v="2026-05-28T00:00:00"/>
    <d v="2026-05-04T00:00:00"/>
    <n v="1"/>
    <n v="1"/>
    <n v="100"/>
    <s v="SEM 22"/>
    <s v="May-2026"/>
    <x v="0"/>
    <n v="2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9428"/>
    <s v="TERMINATION KIT,COUP"/>
    <s v="4519721441"/>
    <n v="5"/>
    <s v="Standard"/>
    <s v="#"/>
    <d v="2026-06-09T00:00:00"/>
    <x v="284"/>
    <s v="#"/>
    <d v="2026-10-10T00:00:00"/>
    <d v="2026-06-09T00:00:00"/>
    <n v="1"/>
    <n v="0"/>
    <n v="0"/>
    <s v="SEM 41"/>
    <s v="Oct-2026"/>
    <x v="2"/>
    <n v="5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9428"/>
    <s v="TERMINATION KIT,COUP"/>
    <s v="4519783059"/>
    <n v="3"/>
    <s v="Standard"/>
    <s v="#"/>
    <d v="2026-06-22T00:00:00"/>
    <x v="217"/>
    <s v="#"/>
    <d v="2026-10-23T00:00:00"/>
    <d v="2026-06-22T00:00:00"/>
    <n v="1"/>
    <n v="0"/>
    <n v="0"/>
    <s v="SEM 43"/>
    <s v="Oct-2026"/>
    <x v="2"/>
    <n v="6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19428"/>
    <s v="TERMINATION KIT,COUP"/>
    <s v="4519918519"/>
    <n v="3"/>
    <s v="Standard"/>
    <s v="#"/>
    <d v="2026-07-19T00:00:00"/>
    <x v="220"/>
    <s v="#"/>
    <d v="2026-11-19T00:00:00"/>
    <d v="2026-07-19T00:00:00"/>
    <n v="1"/>
    <n v="0"/>
    <n v="0"/>
    <s v="SEM 47"/>
    <s v="Nov-2026"/>
    <x v="2"/>
    <n v="9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52233"/>
    <s v="SENSOR,OPTIC,BARRIER"/>
    <s v="4518919944"/>
    <n v="10"/>
    <s v="Standard"/>
    <s v="X"/>
    <d v="2025-12-10T00:00:00"/>
    <x v="58"/>
    <d v="2026-07-15T00:00:00"/>
    <d v="2026-07-10T00:00:00"/>
    <d v="2026-07-15T00:00:00"/>
    <n v="1"/>
    <n v="0"/>
    <n v="0"/>
    <s v="SEM 7"/>
    <s v="Feb-2026"/>
    <x v="0"/>
    <n v="-152"/>
    <x v="1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52233"/>
    <s v="SENSOR,OPTIC,BARRIER"/>
    <s v="4519718219"/>
    <n v="5"/>
    <s v="Standard"/>
    <s v="X"/>
    <d v="2026-06-09T00:00:00"/>
    <x v="273"/>
    <d v="2026-07-15T00:00:00"/>
    <d v="2026-07-27T00:00:00"/>
    <d v="2026-07-15T00:00:00"/>
    <n v="1"/>
    <n v="1"/>
    <n v="100"/>
    <s v="SEM 31"/>
    <s v="Jul-2026"/>
    <x v="0"/>
    <n v="12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52234"/>
    <s v="SENSOR,PE,OPTIC,SICK"/>
    <s v="4519169943"/>
    <n v="15"/>
    <s v="Standard"/>
    <s v="X"/>
    <d v="2026-02-09T00:00:00"/>
    <x v="49"/>
    <d v="2026-03-20T00:00:00"/>
    <d v="2026-03-29T00:00:00"/>
    <d v="2026-02-10T00:00:00"/>
    <n v="1"/>
    <n v="0"/>
    <n v="0"/>
    <s v="SEM 14"/>
    <s v="Mar-2026"/>
    <x v="0"/>
    <n v="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79480"/>
    <s v="ELECTRONIC MODULE,38"/>
    <s v="4519682844"/>
    <n v="5"/>
    <s v="Standard"/>
    <s v="#"/>
    <d v="2026-06-01T00:00:00"/>
    <x v="255"/>
    <s v="#"/>
    <d v="2026-10-02T00:00:00"/>
    <d v="2026-06-01T00:00:00"/>
    <n v="1"/>
    <n v="0"/>
    <n v="0"/>
    <s v="SEM 40"/>
    <s v="Oct-2026"/>
    <x v="2"/>
    <n v="4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81114"/>
    <s v="MODULE,CPU 315-2 PN/"/>
    <s v="4518903024"/>
    <n v="1"/>
    <s v="Standard"/>
    <s v="X"/>
    <d v="2025-12-05T00:00:00"/>
    <x v="227"/>
    <d v="2026-04-01T00:00:00"/>
    <d v="2026-04-07T00:00:00"/>
    <d v="2026-04-01T00:00:00"/>
    <n v="1"/>
    <n v="1"/>
    <n v="100"/>
    <s v="SEM 15"/>
    <s v="Apr-2026"/>
    <x v="0"/>
    <n v="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83592"/>
    <s v="CONNECTOR,PLUG,PH,8K"/>
    <s v="4519050699"/>
    <n v="3"/>
    <s v="Standard"/>
    <s v="X"/>
    <d v="2026-01-12T00:00:00"/>
    <x v="257"/>
    <d v="2026-05-04T00:00:00"/>
    <d v="2026-05-15T00:00:00"/>
    <d v="2026-05-04T00:00:00"/>
    <n v="1"/>
    <n v="1"/>
    <n v="100"/>
    <s v="SEM 20"/>
    <s v="May-2026"/>
    <x v="0"/>
    <n v="1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83592"/>
    <s v="CONNECTOR,PLUG,PH,8K"/>
    <s v="4519074485"/>
    <n v="3"/>
    <s v="Standard"/>
    <s v="X"/>
    <d v="2026-01-18T00:00:00"/>
    <x v="234"/>
    <d v="2026-05-04T00:00:00"/>
    <d v="2026-05-21T00:00:00"/>
    <d v="2026-05-04T00:00:00"/>
    <n v="1"/>
    <n v="1"/>
    <n v="100"/>
    <s v="SEM 21"/>
    <s v="May-2026"/>
    <x v="0"/>
    <n v="1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83592"/>
    <s v="CONNECTOR,PLUG,PH,8K"/>
    <s v="4519102926"/>
    <n v="3"/>
    <s v="Standard"/>
    <s v="X"/>
    <d v="2026-01-25T00:00:00"/>
    <x v="156"/>
    <d v="2026-05-04T00:00:00"/>
    <d v="2026-05-28T00:00:00"/>
    <d v="2026-05-04T00:00:00"/>
    <n v="1"/>
    <n v="1"/>
    <n v="100"/>
    <s v="SEM 22"/>
    <s v="May-2026"/>
    <x v="0"/>
    <n v="24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83592"/>
    <s v="CONNECTOR,PLUG,PH,8K"/>
    <s v="4519131454"/>
    <n v="3"/>
    <s v="Standard"/>
    <s v="X"/>
    <d v="2026-02-01T00:00:00"/>
    <x v="109"/>
    <d v="2026-06-01T00:00:00"/>
    <d v="2026-06-04T00:00:00"/>
    <d v="2026-06-01T00:00:00"/>
    <n v="1"/>
    <n v="1"/>
    <n v="100"/>
    <s v="SEM 23"/>
    <s v="Jun-2026"/>
    <x v="0"/>
    <n v="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83592"/>
    <s v="CONNECTOR,PLUG,PH,8K"/>
    <s v="4519163205"/>
    <n v="3"/>
    <s v="Standard"/>
    <s v="X"/>
    <d v="2026-02-08T00:00:00"/>
    <x v="252"/>
    <d v="2026-06-01T00:00:00"/>
    <d v="2026-06-11T00:00:00"/>
    <d v="2026-06-01T00:00:00"/>
    <n v="1"/>
    <n v="1"/>
    <n v="100"/>
    <s v="SEM 24"/>
    <s v="Jun-2026"/>
    <x v="0"/>
    <n v="1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83592"/>
    <s v="CONNECTOR,PLUG,PH,8K"/>
    <s v="4519784190"/>
    <n v="1"/>
    <s v="Standard"/>
    <s v="#"/>
    <d v="2026-06-22T00:00:00"/>
    <x v="217"/>
    <s v="#"/>
    <d v="2026-10-23T00:00:00"/>
    <d v="2026-06-22T00:00:00"/>
    <n v="1"/>
    <n v="0"/>
    <n v="0"/>
    <s v="SEM 43"/>
    <s v="Oct-2026"/>
    <x v="2"/>
    <n v="6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83592"/>
    <s v="CONNECTOR,PLUG,PH,8K"/>
    <s v="4519819874"/>
    <n v="3"/>
    <s v="Standard"/>
    <s v="#"/>
    <d v="2026-06-29T00:00:00"/>
    <x v="285"/>
    <s v="#"/>
    <d v="2026-10-30T00:00:00"/>
    <d v="2026-06-29T00:00:00"/>
    <n v="1"/>
    <n v="0"/>
    <n v="0"/>
    <s v="SEM 44"/>
    <s v="Oct-2026"/>
    <x v="2"/>
    <n v="7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83592"/>
    <s v="CONNECTOR,PLUG,PH,8K"/>
    <s v="4519839545"/>
    <n v="2"/>
    <s v="Standard"/>
    <s v="#"/>
    <d v="2026-07-02T00:00:00"/>
    <x v="289"/>
    <s v="#"/>
    <d v="2026-11-02T00:00:00"/>
    <d v="2026-07-02T00:00:00"/>
    <n v="1"/>
    <n v="0"/>
    <n v="0"/>
    <s v="SEM 45"/>
    <s v="Nov-2026"/>
    <x v="2"/>
    <n v="7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83592"/>
    <s v="CONNECTOR,PLUG,PH,8K"/>
    <s v="4519851294"/>
    <n v="3"/>
    <s v="Standard"/>
    <s v="#"/>
    <d v="2026-07-05T00:00:00"/>
    <x v="218"/>
    <s v="#"/>
    <d v="2026-11-05T00:00:00"/>
    <d v="2026-07-05T00:00:00"/>
    <n v="1"/>
    <n v="0"/>
    <n v="0"/>
    <s v="SEM 45"/>
    <s v="Nov-2026"/>
    <x v="2"/>
    <n v="7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83592"/>
    <s v="CONNECTOR,PLUG,PH,8K"/>
    <s v="4519886290"/>
    <n v="3"/>
    <s v="Standard"/>
    <s v="#"/>
    <d v="2026-07-12T00:00:00"/>
    <x v="266"/>
    <s v="#"/>
    <d v="2026-11-12T00:00:00"/>
    <d v="2026-07-12T00:00:00"/>
    <n v="1"/>
    <n v="0"/>
    <n v="0"/>
    <s v="SEM 46"/>
    <s v="Nov-2026"/>
    <x v="2"/>
    <n v="8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83592"/>
    <s v="CONNECTOR,PLUG,PH,8K"/>
    <s v="4519919123"/>
    <n v="3"/>
    <s v="Standard"/>
    <s v="#"/>
    <d v="2026-07-19T00:00:00"/>
    <x v="220"/>
    <s v="#"/>
    <d v="2026-11-19T00:00:00"/>
    <d v="2026-07-19T00:00:00"/>
    <n v="1"/>
    <n v="0"/>
    <n v="0"/>
    <s v="SEM 47"/>
    <s v="Nov-2026"/>
    <x v="2"/>
    <n v="9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83592"/>
    <s v="CONNECTOR,PLUG,PH,8K"/>
    <s v="4519952034"/>
    <n v="3"/>
    <s v="Standard"/>
    <s v="#"/>
    <d v="2026-07-26T00:00:00"/>
    <x v="221"/>
    <s v="#"/>
    <d v="2026-11-26T00:00:00"/>
    <d v="2026-07-26T00:00:00"/>
    <n v="1"/>
    <n v="0"/>
    <n v="0"/>
    <s v="SEM 48"/>
    <s v="Nov-2026"/>
    <x v="2"/>
    <n v="100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96860"/>
    <s v="MODULE,SM331,8 A/I,4"/>
    <s v="4518851698"/>
    <n v="4"/>
    <s v="Standard"/>
    <s v="X"/>
    <d v="2025-11-24T00:00:00"/>
    <x v="205"/>
    <d v="2026-03-02T00:00:00"/>
    <d v="2026-03-27T00:00:00"/>
    <d v="2026-03-02T00:00:00"/>
    <n v="1"/>
    <n v="1"/>
    <n v="100"/>
    <s v="SEM 13"/>
    <s v="Mar-2026"/>
    <x v="0"/>
    <n v="2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96860"/>
    <s v="MODULE,SM331,8 A/I,4"/>
    <s v="4519143176"/>
    <n v="1"/>
    <s v="Standard"/>
    <s v="X"/>
    <d v="2026-02-03T00:00:00"/>
    <x v="176"/>
    <d v="2026-06-01T00:00:00"/>
    <d v="2026-06-06T00:00:00"/>
    <d v="2026-06-01T00:00:00"/>
    <n v="1"/>
    <n v="1"/>
    <n v="100"/>
    <s v="SEM 23"/>
    <s v="Jun-2026"/>
    <x v="0"/>
    <n v="5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96860"/>
    <s v="MODULE,SM331,8 A/I,4"/>
    <s v="4519381266"/>
    <n v="4"/>
    <s v="Standard"/>
    <s v="X"/>
    <d v="2026-03-28T00:00:00"/>
    <x v="136"/>
    <d v="2026-07-01T00:00:00"/>
    <d v="2026-07-29T00:00:00"/>
    <d v="2026-07-01T00:00:00"/>
    <n v="1"/>
    <n v="1"/>
    <n v="100"/>
    <s v="SEM 31"/>
    <s v="Jul-2026"/>
    <x v="0"/>
    <n v="2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96860"/>
    <s v="MODULE,SM331,8 A/I,4"/>
    <s v="4519403772"/>
    <n v="1"/>
    <s v="Standard"/>
    <s v="#"/>
    <d v="2026-04-02T00:00:00"/>
    <x v="287"/>
    <s v="#"/>
    <d v="2026-09-03T00:00:00"/>
    <d v="2026-04-29T00:00:00"/>
    <n v="1"/>
    <n v="0"/>
    <n v="0"/>
    <s v="SEM 36"/>
    <s v="Sep-2026"/>
    <x v="2"/>
    <n v="1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496860"/>
    <s v="MODULE,SM331,8 A/I,4"/>
    <s v="4519543856"/>
    <n v="3"/>
    <s v="Standard"/>
    <s v="#"/>
    <d v="2026-05-04T00:00:00"/>
    <x v="287"/>
    <s v="#"/>
    <d v="2026-09-03T00:00:00"/>
    <d v="2026-05-04T00:00:00"/>
    <n v="1"/>
    <n v="0"/>
    <n v="0"/>
    <s v="SEM 36"/>
    <s v="Sep-2026"/>
    <x v="2"/>
    <n v="1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509006"/>
    <s v="MODULE,A/I,SIEMENS 6"/>
    <s v="4519347862"/>
    <n v="2"/>
    <s v="Standard"/>
    <s v="X"/>
    <d v="2026-03-21T00:00:00"/>
    <x v="259"/>
    <d v="2026-07-01T00:00:00"/>
    <d v="2026-07-22T00:00:00"/>
    <d v="2026-07-01T00:00:00"/>
    <n v="1"/>
    <n v="1"/>
    <n v="100"/>
    <s v="SEM 30"/>
    <s v="Jul-2026"/>
    <x v="0"/>
    <n v="21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509006"/>
    <s v="MODULE,A/I,SIEMENS 6"/>
    <s v="4519435093"/>
    <n v="1"/>
    <s v="Standard"/>
    <s v="X"/>
    <d v="2026-04-09T00:00:00"/>
    <x v="142"/>
    <d v="2026-08-03T00:00:00"/>
    <d v="2026-08-10T00:00:00"/>
    <d v="2026-08-03T00:00:00"/>
    <n v="1"/>
    <n v="1"/>
    <n v="100"/>
    <s v="SEM 33"/>
    <s v="Aug-2026"/>
    <x v="0"/>
    <n v="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0509006"/>
    <s v="MODULE,A/I,SIEMENS 6"/>
    <s v="4519875416"/>
    <n v="4"/>
    <s v="Standard"/>
    <s v="#"/>
    <d v="2026-07-09T00:00:00"/>
    <x v="261"/>
    <s v="#"/>
    <d v="2026-11-09T00:00:00"/>
    <d v="2026-07-09T00:00:00"/>
    <n v="1"/>
    <n v="0"/>
    <n v="0"/>
    <s v="SEM 46"/>
    <s v="Nov-2026"/>
    <x v="2"/>
    <n v="8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1119931"/>
    <s v="BATTERY,7.2V,15AH,AF"/>
    <s v="4518999599"/>
    <n v="3"/>
    <s v="Standard"/>
    <s v="X"/>
    <d v="2025-12-31T00:00:00"/>
    <x v="187"/>
    <d v="2026-01-09T00:00:00"/>
    <d v="2026-01-28T00:00:00"/>
    <d v="2026-01-09T00:00:00"/>
    <n v="1"/>
    <n v="1"/>
    <n v="100"/>
    <s v="SEM 5"/>
    <s v="Jan-2026"/>
    <x v="0"/>
    <n v="1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1119931"/>
    <s v="BATTERY,7.2V,15AH,AF"/>
    <s v="4519405057"/>
    <n v="4"/>
    <s v="Standard"/>
    <s v="X"/>
    <d v="2026-04-02T00:00:00"/>
    <x v="5"/>
    <d v="2026-04-13T00:00:00"/>
    <d v="2026-04-30T00:00:00"/>
    <d v="2026-04-13T00:00:00"/>
    <n v="1"/>
    <n v="1"/>
    <n v="100"/>
    <s v="SEM 18"/>
    <s v="Apr-2026"/>
    <x v="0"/>
    <n v="1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1151061"/>
    <s v="SWITCH,LIQUID,LVL,18"/>
    <s v="4519113721"/>
    <n v="2"/>
    <s v="Standard"/>
    <s v="X"/>
    <d v="2026-01-28T00:00:00"/>
    <x v="107"/>
    <d v="2026-05-12T00:00:00"/>
    <d v="2026-04-01T00:00:00"/>
    <d v="2026-05-12T00:00:00"/>
    <n v="1"/>
    <n v="0"/>
    <n v="0"/>
    <s v="SEM 14"/>
    <s v="Apr-2026"/>
    <x v="0"/>
    <n v="-41"/>
    <x v="1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1151061"/>
    <s v="SWITCH,LIQUID,LVL,18"/>
    <s v="4519405429"/>
    <n v="1"/>
    <s v="Standard"/>
    <s v="X"/>
    <d v="2026-04-02T00:00:00"/>
    <x v="109"/>
    <d v="2026-06-01T00:00:00"/>
    <d v="2026-06-04T00:00:00"/>
    <d v="2026-06-01T00:00:00"/>
    <n v="1"/>
    <n v="1"/>
    <n v="100"/>
    <s v="SEM 23"/>
    <s v="Jun-2026"/>
    <x v="0"/>
    <n v="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1151062"/>
    <s v="SWITCH,LIQUID,LVL,18"/>
    <s v="4519009621"/>
    <n v="4"/>
    <s v="Standard"/>
    <s v="X"/>
    <d v="2026-01-02T00:00:00"/>
    <x v="97"/>
    <d v="2026-05-12T00:00:00"/>
    <d v="2026-03-11T00:00:00"/>
    <d v="2026-05-12T00:00:00"/>
    <n v="1"/>
    <n v="0"/>
    <n v="0"/>
    <s v="SEM 11"/>
    <s v="Mar-2026"/>
    <x v="0"/>
    <n v="-62"/>
    <x v="1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1151062"/>
    <s v="SWITCH,LIQUID,LVL,18"/>
    <s v="4519096186"/>
    <n v="5"/>
    <s v="Standard"/>
    <s v="X"/>
    <d v="2026-01-23T00:00:00"/>
    <x v="107"/>
    <d v="2026-07-20T00:00:00"/>
    <d v="2026-04-01T00:00:00"/>
    <d v="2026-04-29T00:00:00"/>
    <n v="1"/>
    <n v="0"/>
    <n v="0"/>
    <s v="SEM 14"/>
    <s v="Apr-2026"/>
    <x v="0"/>
    <n v="-110"/>
    <x v="1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1151062"/>
    <s v="SWITCH,LIQUID,LVL,18"/>
    <s v="4519405686"/>
    <n v="1"/>
    <s v="Standard"/>
    <s v="X"/>
    <d v="2026-04-02T00:00:00"/>
    <x v="170"/>
    <d v="2026-06-01T00:00:00"/>
    <d v="2026-06-09T00:00:00"/>
    <d v="2026-06-01T00:00:00"/>
    <n v="1"/>
    <n v="1"/>
    <n v="100"/>
    <s v="SEM 24"/>
    <s v="Jun-2026"/>
    <x v="0"/>
    <n v="8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1151062"/>
    <s v="SWITCH,LIQUID,LVL,18"/>
    <s v="4519957968"/>
    <n v="2"/>
    <s v="Standard"/>
    <s v="#"/>
    <d v="2026-07-27T00:00:00"/>
    <x v="256"/>
    <s v="#"/>
    <d v="2026-10-03T00:00:00"/>
    <d v="2026-07-27T00:00:00"/>
    <n v="1"/>
    <n v="0"/>
    <n v="0"/>
    <s v="SEM 40"/>
    <s v="Oct-2026"/>
    <x v="2"/>
    <n v="46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1154111"/>
    <s v="RELAY,ELECTROMAGNETI"/>
    <s v="4519592032"/>
    <n v="12"/>
    <s v="Standard"/>
    <s v="X"/>
    <d v="2026-05-13T00:00:00"/>
    <x v="209"/>
    <d v="2026-06-11T00:00:00"/>
    <d v="2026-06-20T00:00:00"/>
    <d v="2026-06-11T00:00:00"/>
    <n v="1"/>
    <n v="1"/>
    <n v="100"/>
    <s v="SEM 25"/>
    <s v="Jun-2026"/>
    <x v="0"/>
    <n v="9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1154111"/>
    <s v="RELAY,ELECTROMAGNETI"/>
    <s v="4519892086"/>
    <n v="12"/>
    <s v="Standard"/>
    <s v="X"/>
    <d v="2026-07-13T00:00:00"/>
    <x v="212"/>
    <d v="2026-08-03T00:00:00"/>
    <d v="2026-08-20T00:00:00"/>
    <d v="2026-08-03T00:00:00"/>
    <n v="1"/>
    <n v="1"/>
    <n v="100"/>
    <s v="SEM 34"/>
    <s v="Aug-2026"/>
    <x v="0"/>
    <n v="17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1156518"/>
    <s v="STEM,PH,PATTON&amp;C ST0"/>
    <s v="4518520596"/>
    <n v="6"/>
    <s v="Standard"/>
    <s v="X"/>
    <d v="2025-09-09T00:00:00"/>
    <x v="190"/>
    <d v="2026-01-16T00:00:00"/>
    <d v="2026-01-10T00:00:00"/>
    <d v="2026-01-16T00:00:00"/>
    <n v="1"/>
    <n v="0"/>
    <n v="0"/>
    <s v="SEM 2"/>
    <s v="Jan-2026"/>
    <x v="0"/>
    <n v="-6"/>
    <x v="1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1156518"/>
    <s v="STEM,PH,PATTON&amp;C ST0"/>
    <s v="4519721440"/>
    <n v="12"/>
    <s v="Standard"/>
    <s v="#"/>
    <d v="2026-06-09T00:00:00"/>
    <x v="284"/>
    <d v="2026-07-24T00:00:00"/>
    <d v="2026-10-10T00:00:00"/>
    <d v="2026-07-20T00:00:00"/>
    <n v="1"/>
    <n v="0"/>
    <n v="0"/>
    <s v="SEM 41"/>
    <s v="Oct-2026"/>
    <x v="1"/>
    <n v="53"/>
    <x v="0"/>
    <s v="2026"/>
  </r>
  <r>
    <s v="Minerals Americas"/>
    <x v="1"/>
    <s v="Spence Supply"/>
    <s v="30129536"/>
    <s v="CML COMERCIALIZADORA E IMPORTADORA"/>
    <s v="CPT"/>
    <s v="BY AGREEMENT"/>
    <s v="10"/>
    <s v="S43"/>
    <x v="7"/>
    <s v="11156587"/>
    <s v="TOOL KIT,ERICINTE T3"/>
    <s v="4519625935"/>
    <n v="4"/>
    <s v="Standard"/>
    <s v="#"/>
    <d v="2026-05-19T00:00:00"/>
    <x v="132"/>
    <s v="#"/>
    <d v="2026-07-26T00:00:00"/>
    <d v="2026-05-19T00:00:00"/>
    <n v="1"/>
    <n v="0"/>
    <n v="0"/>
    <s v="SEM 31"/>
    <s v="Jul-2026"/>
    <x v="2"/>
    <n v="-23"/>
    <x v="1"/>
    <s v="2026"/>
  </r>
  <r>
    <s v="Minerals Americas"/>
    <x v="1"/>
    <s v="Spence Supply"/>
    <s v="30129536"/>
    <s v="CML COMERCIALIZADORA E IMPORTADORA"/>
    <s v="CPT"/>
    <s v="BY AGREEMENT"/>
    <s v="10"/>
    <s v="S44"/>
    <x v="1"/>
    <s v="11260999"/>
    <s v="RESPIRATOR,SULFANE G"/>
    <s v="4519846320"/>
    <n v="41"/>
    <s v="Standard"/>
    <s v="#"/>
    <d v="2026-07-03T00:00:00"/>
    <x v="291"/>
    <s v="#"/>
    <d v="2026-09-29T00:00:00"/>
    <d v="2026-07-03T00:00:00"/>
    <n v="1"/>
    <n v="0"/>
    <n v="0"/>
    <s v="SEM 40"/>
    <s v="Sep-2026"/>
    <x v="2"/>
    <n v="42"/>
    <x v="0"/>
    <s v="2026"/>
  </r>
  <r>
    <s v="Minerals Americas"/>
    <x v="1"/>
    <s v="Spence Supply"/>
    <s v="30129536"/>
    <s v="CML COMERCIALIZADORA E IMPORTADORA"/>
    <s v="CPT"/>
    <s v="BY AGREEMENT"/>
    <s v="10"/>
    <s v="S44"/>
    <x v="1"/>
    <s v="11293630"/>
    <s v="DISPENSING PUMP,HAND"/>
    <s v="4520036075"/>
    <n v="1"/>
    <s v="Standard"/>
    <s v="#"/>
    <d v="2026-08-12T00:00:00"/>
    <x v="292"/>
    <s v="#"/>
    <d v="2026-11-08T00:00:00"/>
    <d v="2026-08-12T00:00:00"/>
    <n v="1"/>
    <n v="0"/>
    <n v="0"/>
    <s v="SEM 46"/>
    <s v="Nov-2026"/>
    <x v="2"/>
    <n v="84"/>
    <x v="0"/>
    <s v="2026"/>
  </r>
  <r>
    <s v="Minerals Americas"/>
    <x v="1"/>
    <s v="Spence Supply"/>
    <s v="30129536"/>
    <s v="CML COMERCIALIZADORA E IMPORTADORA"/>
    <s v="CPT"/>
    <s v="BY AGREEMENT"/>
    <s v="10"/>
    <s v="S49"/>
    <x v="1"/>
    <s v="11135972"/>
    <s v="SENSOR,PRESS,WITH SC"/>
    <s v="4519041612"/>
    <n v="1"/>
    <s v="Standard"/>
    <s v="X"/>
    <d v="2026-01-09T00:00:00"/>
    <x v="46"/>
    <d v="2026-04-01T00:00:00"/>
    <d v="2026-04-10T00:00:00"/>
    <d v="2026-04-01T00:00:00"/>
    <n v="1"/>
    <n v="1"/>
    <n v="100"/>
    <s v="SEM 15"/>
    <s v="Apr-2026"/>
    <x v="0"/>
    <n v="9"/>
    <x v="0"/>
    <s v="2026"/>
  </r>
  <r>
    <s v="Minerals Americas"/>
    <x v="1"/>
    <s v="Spence Supply"/>
    <s v="30129536"/>
    <s v="CML COMERCIALIZADORA E IMPORTADORA"/>
    <s v="CPT"/>
    <s v="BY AGREEMENT"/>
    <s v="20"/>
    <s v="S43"/>
    <x v="1"/>
    <s v="10416123"/>
    <s v="MODULE,PROFIBUS,SICK"/>
    <s v="4518859804"/>
    <n v="2"/>
    <s v="Standard"/>
    <s v="X"/>
    <d v="2025-11-25T00:00:00"/>
    <x v="201"/>
    <d v="2026-01-06T00:00:00"/>
    <d v="2026-01-15T00:00:00"/>
    <d v="2026-01-06T00:00:00"/>
    <n v="1"/>
    <n v="1"/>
    <n v="100"/>
    <s v="SEM 3"/>
    <s v="Jan-2026"/>
    <x v="0"/>
    <n v="9"/>
    <x v="0"/>
    <s v="2026"/>
  </r>
  <r>
    <s v="Minerals Americas"/>
    <x v="1"/>
    <s v="Spence Supply"/>
    <s v="30129536"/>
    <s v="CML COMERCIALIZADORA E IMPORTADORA"/>
    <s v="CPT"/>
    <s v="BY AGREEMENT"/>
    <s v="20"/>
    <s v="S43"/>
    <x v="1"/>
    <s v="11260999"/>
    <s v="RESPIRATOR,SULFANE G"/>
    <s v="4518984241"/>
    <n v="40"/>
    <s v="Standard"/>
    <s v="X"/>
    <d v="2025-12-26T00:00:00"/>
    <x v="268"/>
    <d v="2026-03-02T00:00:00"/>
    <d v="2026-03-25T00:00:00"/>
    <d v="2026-03-02T00:00:00"/>
    <n v="1"/>
    <n v="1"/>
    <n v="100"/>
    <s v="SEM 13"/>
    <s v="Mar-2026"/>
    <x v="0"/>
    <n v="23"/>
    <x v="0"/>
    <s v="2026"/>
  </r>
  <r>
    <s v="Minerals Americas"/>
    <x v="1"/>
    <s v="Spence Supply"/>
    <s v="30129536"/>
    <s v="CML COMERCIALIZADORA E IMPORTADORA"/>
    <s v="CPT"/>
    <s v="BY AGREEMENT"/>
    <s v="20"/>
    <s v="S43"/>
    <x v="1"/>
    <s v="11260999"/>
    <s v="RESPIRATOR,SULFANE G"/>
    <s v="4519185823"/>
    <n v="7"/>
    <s v="Standard"/>
    <s v="X"/>
    <d v="2026-02-12T00:00:00"/>
    <x v="125"/>
    <d v="2026-05-04T00:00:00"/>
    <d v="2026-05-11T00:00:00"/>
    <d v="2026-05-04T00:00:00"/>
    <n v="1"/>
    <n v="1"/>
    <n v="100"/>
    <s v="SEM 20"/>
    <s v="May-2026"/>
    <x v="0"/>
    <n v="7"/>
    <x v="0"/>
    <s v="2026"/>
  </r>
  <r>
    <s v="Minerals Americas"/>
    <x v="1"/>
    <s v="Spence Supply"/>
    <s v="30129536"/>
    <s v="CML COMERCIALIZADORA E IMPORTADORA"/>
    <s v="CPT"/>
    <s v="BY AGREEMENT"/>
    <s v="20"/>
    <s v="S43"/>
    <x v="1"/>
    <s v="11260999"/>
    <s v="RESPIRATOR,SULFANE G"/>
    <s v="4519298410"/>
    <n v="6"/>
    <s v="Standard"/>
    <s v="X"/>
    <d v="2026-03-10T00:00:00"/>
    <x v="153"/>
    <d v="2026-04-02T00:00:00"/>
    <d v="2026-04-13T00:00:00"/>
    <d v="2026-04-02T00:00:00"/>
    <n v="1"/>
    <n v="1"/>
    <n v="100"/>
    <s v="SEM 16"/>
    <s v="Apr-2026"/>
    <x v="0"/>
    <n v="11"/>
    <x v="0"/>
    <s v="2026"/>
  </r>
  <r>
    <s v="Minerals Americas"/>
    <x v="1"/>
    <s v="Spence Supply"/>
    <s v="30129536"/>
    <s v="CML COMERCIALIZADORA E IMPORTADORA"/>
    <s v="CPT"/>
    <s v="BY AGREEMENT"/>
    <s v="30"/>
    <s v="S43"/>
    <x v="1"/>
    <s v="10416123"/>
    <s v="MODULE,PROFIBUS,SICK"/>
    <s v="4518859804"/>
    <n v="2"/>
    <s v="Standard"/>
    <s v="X"/>
    <d v="2025-11-25T00:00:00"/>
    <x v="201"/>
    <d v="2026-01-15T00:00:00"/>
    <d v="2026-01-15T00:00:00"/>
    <d v="2026-01-15T00:00:00"/>
    <n v="1"/>
    <n v="1"/>
    <n v="100"/>
    <s v="SEM 3"/>
    <s v="Jan-2026"/>
    <x v="0"/>
    <n v="0"/>
    <x v="0"/>
    <s v="2026"/>
  </r>
  <r>
    <s v="Minerals Americas"/>
    <x v="1"/>
    <s v="Spence Supply"/>
    <s v="30129536"/>
    <s v="CML COMERCIALIZADORA E IMPORTADORA"/>
    <s v="CPT"/>
    <s v="BY AGREEMENT"/>
    <s v="30"/>
    <s v="S43"/>
    <x v="1"/>
    <s v="11260999"/>
    <s v="RESPIRATOR,SULFANE G"/>
    <s v="4519185823"/>
    <n v="9"/>
    <s v="Standard"/>
    <s v="X"/>
    <d v="2026-02-12T00:00:00"/>
    <x v="175"/>
    <d v="2026-05-04T00:00:00"/>
    <d v="2026-05-12T00:00:00"/>
    <d v="2026-05-04T00:00:00"/>
    <n v="1"/>
    <n v="1"/>
    <n v="100"/>
    <s v="SEM 20"/>
    <s v="May-2026"/>
    <x v="0"/>
    <n v="8"/>
    <x v="0"/>
    <s v="2026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3" cacheId="59" dataOnRows="0" dataCaption="Values" grandTotalCaption=" Total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P16" firstHeaderRow="1" firstDataRow="3" firstDataCol="2" rowPageCount="1" colPageCount="1"/>
  <pivotFields count="3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19">
        <item t="data" h="1" sd="1" x="1"/>
        <item t="data" sd="1" m="1" x="17"/>
        <item t="data" sd="1" m="1" x="11"/>
        <item t="data" sd="1" m="1" x="9"/>
        <item t="data" sd="1" m="1" x="12"/>
        <item t="data" sd="1" m="1" x="10"/>
        <item t="data" sd="1" m="1" x="8"/>
        <item t="data" sd="1" m="1" x="13"/>
        <item t="data" sd="1" m="1" x="14"/>
        <item t="data" sd="1" m="1" x="15"/>
        <item t="data" sd="1" m="1" x="16"/>
        <item t="data" sd="1" x="0"/>
        <item t="data" sd="1" x="2"/>
        <item t="data" sd="1" x="3"/>
        <item t="data" sd="1" x="4"/>
        <item t="data" sd="1" x="5"/>
        <item t="data" sd="1" x="6"/>
        <item t="data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9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>
      <items count="936">
        <item t="data" sd="1" m="1" x="805"/>
        <item t="data" sd="1" m="1" x="789"/>
        <item t="data" sd="1" m="1" x="818"/>
        <item t="data" sd="1" m="1" x="790"/>
        <item t="data" sd="1" m="1" x="934"/>
        <item t="data" sd="1" m="1" x="791"/>
        <item t="data" sd="1" m="1" x="792"/>
        <item t="data" sd="1" m="1" x="920"/>
        <item t="data" sd="1" m="1" x="819"/>
        <item t="data" sd="1" m="1" x="793"/>
        <item t="data" sd="1" m="1" x="794"/>
        <item t="data" sd="1" m="1" x="796"/>
        <item t="data" sd="1" m="1" x="806"/>
        <item t="data" sd="1" m="1" x="795"/>
        <item t="data" sd="1" m="1" x="797"/>
        <item t="data" sd="1" m="1" x="798"/>
        <item t="data" sd="1" m="1" x="799"/>
        <item t="data" sd="1" m="1" x="800"/>
        <item t="data" sd="1" m="1" x="898"/>
        <item t="data" sd="1" m="1" x="820"/>
        <item t="data" sd="1" m="1" x="821"/>
        <item t="data" sd="1" m="1" x="811"/>
        <item t="data" sd="1" m="1" x="813"/>
        <item t="data" sd="1" m="1" x="801"/>
        <item t="data" sd="1" m="1" x="802"/>
        <item t="data" sd="1" m="1" x="803"/>
        <item t="data" sd="1" m="1" x="902"/>
        <item t="data" sd="1" m="1" x="804"/>
        <item t="data" sd="1" m="1" x="822"/>
        <item t="data" sd="1" m="1" x="808"/>
        <item t="data" sd="1" m="1" x="909"/>
        <item t="data" sd="1" m="1" x="905"/>
        <item t="data" sd="1" m="1" x="930"/>
        <item t="data" sd="1" m="1" x="823"/>
        <item t="data" sd="1" m="1" x="824"/>
        <item t="data" sd="1" m="1" x="812"/>
        <item t="data" sd="1" m="1" x="826"/>
        <item t="data" sd="1" m="1" x="825"/>
        <item t="data" sd="1" m="1" x="827"/>
        <item t="data" sd="1" m="1" x="908"/>
        <item t="data" sd="1" m="1" x="828"/>
        <item t="data" sd="1" m="1" x="927"/>
        <item t="data" sd="1" m="1" x="829"/>
        <item t="data" sd="1" m="1" x="830"/>
        <item t="data" sd="1" m="1" x="928"/>
        <item t="data" sd="1" m="1" x="922"/>
        <item t="data" sd="1" m="1" x="831"/>
        <item t="data" sd="1" m="1" x="832"/>
        <item t="data" sd="1" m="1" x="833"/>
        <item t="data" sd="1" m="1" x="834"/>
        <item t="data" sd="1" m="1" x="835"/>
        <item t="data" sd="1" m="1" x="836"/>
        <item t="data" sd="1" m="1" x="901"/>
        <item t="data" sd="1" m="1" x="899"/>
        <item t="data" sd="1" m="1" x="838"/>
        <item t="data" sd="1" m="1" x="837"/>
        <item t="data" sd="1" m="1" x="839"/>
        <item t="data" sd="1" m="1" x="840"/>
        <item t="data" sd="1" m="1" x="841"/>
        <item t="data" sd="1" m="1" x="903"/>
        <item t="data" sd="1" m="1" x="904"/>
        <item t="data" sd="1" m="1" x="842"/>
        <item t="data" sd="1" m="1" x="931"/>
        <item t="data" sd="1" m="1" x="843"/>
        <item t="data" sd="1" m="1" x="923"/>
        <item t="data" sd="1" m="1" x="844"/>
        <item t="data" sd="1" m="1" x="743"/>
        <item t="data" sd="1" m="1" x="759"/>
        <item t="data" sd="1" m="1" x="910"/>
        <item t="data" sd="1" m="1" x="845"/>
        <item t="data" sd="1" m="1" x="918"/>
        <item t="data" sd="1" m="1" x="929"/>
        <item t="data" sd="1" m="1" x="846"/>
        <item t="data" sd="1" m="1" x="847"/>
        <item t="data" sd="1" m="1" x="760"/>
        <item t="data" sd="1" m="1" x="919"/>
        <item t="data" sd="1" m="1" x="848"/>
        <item t="data" sd="1" m="1" x="781"/>
        <item t="data" sd="1" m="1" x="741"/>
        <item t="data" sd="1" m="1" x="849"/>
        <item t="data" sd="1" m="1" x="850"/>
        <item t="data" sd="1" m="1" x="851"/>
        <item t="data" sd="1" m="1" x="852"/>
        <item t="data" sd="1" m="1" x="817"/>
        <item t="data" sd="1" m="1" x="853"/>
        <item t="data" sd="1" m="1" x="776"/>
        <item t="data" sd="1" m="1" x="854"/>
        <item t="data" sd="1" m="1" x="786"/>
        <item t="data" sd="1" m="1" x="855"/>
        <item t="data" sd="1" m="1" x="932"/>
        <item t="data" sd="1" m="1" x="912"/>
        <item t="data" sd="1" m="1" x="727"/>
        <item t="data" sd="1" m="1" x="693"/>
        <item t="data" sd="1" m="1" x="856"/>
        <item t="data" sd="1" m="1" x="857"/>
        <item t="data" sd="1" m="1" x="858"/>
        <item t="data" sd="1" m="1" x="859"/>
        <item t="data" sd="1" m="1" x="921"/>
        <item t="data" sd="1" m="1" x="926"/>
        <item t="data" sd="1" m="1" x="933"/>
        <item t="data" sd="1" m="1" x="860"/>
        <item t="data" sd="1" m="1" x="917"/>
        <item t="data" sd="1" m="1" x="690"/>
        <item t="data" sd="1" m="1" x="861"/>
        <item t="data" sd="1" m="1" x="777"/>
        <item t="data" sd="1" m="1" x="736"/>
        <item t="data" sd="1" m="1" x="698"/>
        <item t="data" sd="1" m="1" x="712"/>
        <item t="data" sd="1" m="1" x="914"/>
        <item t="data" sd="1" m="1" x="862"/>
        <item t="data" sd="1" m="1" x="739"/>
        <item t="data" sd="1" m="1" x="915"/>
        <item t="data" sd="1" m="1" x="707"/>
        <item t="data" sd="1" m="1" x="713"/>
        <item t="data" sd="1" m="1" x="730"/>
        <item t="data" sd="1" m="1" x="863"/>
        <item t="data" sd="1" m="1" x="864"/>
        <item t="data" sd="1" m="1" x="728"/>
        <item t="data" sd="1" m="1" x="706"/>
        <item t="data" sd="1" m="1" x="916"/>
        <item t="data" sd="1" m="1" x="913"/>
        <item t="data" sd="1" m="1" x="744"/>
        <item t="data" sd="1" m="1" x="696"/>
        <item t="data" sd="1" m="1" x="865"/>
        <item t="data" sd="1" m="1" x="866"/>
        <item t="data" sd="1" m="1" x="809"/>
        <item t="data" sd="1" m="1" x="773"/>
        <item t="data" sd="1" m="1" x="779"/>
        <item t="data" sd="1" m="1" x="867"/>
        <item t="data" sd="1" m="1" x="906"/>
        <item t="data" sd="1" m="1" x="924"/>
        <item t="data" sd="1" m="1" x="787"/>
        <item t="data" sd="1" m="1" x="810"/>
        <item t="data" sd="1" m="1" x="734"/>
        <item t="data" sd="1" m="1" x="868"/>
        <item t="data" sd="1" m="1" x="771"/>
        <item t="data" sd="1" m="1" x="761"/>
        <item t="data" sd="1" m="1" x="869"/>
        <item t="data" sd="1" m="1" x="721"/>
        <item t="data" sd="1" m="1" x="870"/>
        <item t="data" sd="1" m="1" x="871"/>
        <item t="data" sd="1" m="1" x="911"/>
        <item t="data" sd="1" m="1" x="731"/>
        <item t="data" sd="1" m="1" x="763"/>
        <item t="data" sd="1" m="1" x="775"/>
        <item t="data" sd="1" m="1" x="766"/>
        <item t="data" sd="1" m="1" x="735"/>
        <item t="data" sd="1" m="1" x="872"/>
        <item t="data" sd="1" m="1" x="754"/>
        <item t="data" sd="1" m="1" x="695"/>
        <item t="data" sd="1" m="1" x="708"/>
        <item t="data" sd="1" m="1" x="705"/>
        <item t="data" sd="1" m="1" x="762"/>
        <item t="data" sd="1" m="1" x="873"/>
        <item t="data" sd="1" m="1" x="701"/>
        <item t="data" sd="1" m="1" x="874"/>
        <item t="data" sd="1" m="1" x="711"/>
        <item t="data" sd="1" m="1" x="875"/>
        <item t="data" sd="1" m="1" x="746"/>
        <item t="data" sd="1" m="1" x="876"/>
        <item t="data" sd="1" m="1" x="877"/>
        <item t="data" sd="1" m="1" x="702"/>
        <item t="data" sd="1" m="1" x="699"/>
        <item t="data" sd="1" m="1" x="700"/>
        <item t="data" sd="1" m="1" x="747"/>
        <item t="data" sd="1" m="1" x="765"/>
        <item t="data" sd="1" m="1" x="725"/>
        <item t="data" sd="1" m="1" x="757"/>
        <item t="data" sd="1" m="1" x="737"/>
        <item t="data" sd="1" m="1" x="732"/>
        <item t="data" sd="1" m="1" x="895"/>
        <item t="data" sd="1" m="1" x="748"/>
        <item t="data" sd="1" m="1" x="878"/>
        <item t="data" sd="1" m="1" x="907"/>
        <item t="data" sd="1" m="1" x="879"/>
        <item t="data" sd="1" m="1" x="750"/>
        <item t="data" sd="1" m="1" x="770"/>
        <item t="data" sd="1" m="1" x="774"/>
        <item t="data" sd="1" m="1" x="880"/>
        <item t="data" sd="1" m="1" x="816"/>
        <item t="data" sd="1" m="1" x="756"/>
        <item t="data" sd="1" m="1" x="753"/>
        <item t="data" sd="1" m="1" x="881"/>
        <item t="data" sd="1" m="1" x="716"/>
        <item t="data" sd="1" m="1" x="722"/>
        <item t="data" sd="1" m="1" x="718"/>
        <item t="data" sd="1" m="1" x="717"/>
        <item t="data" sd="1" m="1" x="772"/>
        <item t="data" sd="1" m="1" x="709"/>
        <item t="data" sd="1" m="1" x="691"/>
        <item t="data" sd="1" m="1" x="745"/>
        <item t="data" sd="1" m="1" x="882"/>
        <item t="data" sd="1" m="1" x="729"/>
        <item t="data" sd="1" m="1" x="883"/>
        <item t="data" sd="1" m="1" x="764"/>
        <item t="data" sd="1" m="1" x="884"/>
        <item t="data" sd="1" m="1" x="719"/>
        <item t="data" sd="1" m="1" x="783"/>
        <item t="data" sd="1" m="1" x="720"/>
        <item t="data" sd="1" m="1" x="900"/>
        <item t="data" sd="1" m="1" x="925"/>
        <item t="data" sd="1" m="1" x="742"/>
        <item t="data" sd="1" m="1" x="814"/>
        <item t="data" sd="1" m="1" x="714"/>
        <item t="data" sd="1" m="1" x="724"/>
        <item t="data" sd="1" m="1" x="740"/>
        <item t="data" sd="1" m="1" x="885"/>
        <item t="data" sd="1" m="1" x="807"/>
        <item t="data" sd="1" m="1" x="886"/>
        <item t="data" sd="1" m="1" x="887"/>
        <item t="data" sd="1" m="1" x="694"/>
        <item t="data" sd="1" m="1" x="888"/>
        <item t="data" sd="1" m="1" x="726"/>
        <item t="data" sd="1" m="1" x="697"/>
        <item t="data" sd="1" m="1" x="889"/>
        <item t="data" sd="1" m="1" x="758"/>
        <item t="data" sd="1" m="1" x="751"/>
        <item t="data" sd="1" m="1" x="703"/>
        <item t="data" sd="1" m="1" x="785"/>
        <item t="data" sd="1" m="1" x="890"/>
        <item t="data" sd="1" m="1" x="891"/>
        <item t="data" sd="1" m="1" x="780"/>
        <item t="data" sd="1" m="1" x="788"/>
        <item t="data" sd="1" m="1" x="896"/>
        <item t="data" sd="1" m="1" x="710"/>
        <item t="data" sd="1" m="1" x="704"/>
        <item t="data" sd="1" m="1" x="784"/>
        <item t="data" sd="1" m="1" x="897"/>
        <item t="data" sd="1" m="1" x="892"/>
        <item t="data" sd="1" m="1" x="752"/>
        <item t="data" sd="1" m="1" x="893"/>
        <item t="data" sd="1" m="1" x="715"/>
        <item t="data" sd="1" m="1" x="749"/>
        <item t="data" sd="1" m="1" x="767"/>
        <item t="data" sd="1" m="1" x="815"/>
        <item t="data" sd="1" m="1" x="692"/>
        <item t="data" sd="1" m="1" x="733"/>
        <item t="data" sd="1" m="1" x="738"/>
        <item t="data" sd="1" m="1" x="755"/>
        <item t="data" sd="1" m="1" x="769"/>
        <item t="data" sd="1" m="1" x="723"/>
        <item t="data" sd="1" m="1" x="768"/>
        <item t="data" sd="1" m="1" x="894"/>
        <item t="data" sd="1" m="1" x="782"/>
        <item t="data" sd="1" m="1" x="778"/>
        <item t="data" sd="1" m="1" x="618"/>
        <item t="data" sd="1" m="1" x="630"/>
        <item t="data" sd="1" m="1" x="631"/>
        <item t="data" sd="1" m="1" x="600"/>
        <item t="data" sd="1" m="1" x="572"/>
        <item t="data" sd="1" m="1" x="573"/>
        <item t="data" sd="1" m="1" x="568"/>
        <item t="data" sd="1" m="1" x="632"/>
        <item t="data" sd="1" m="1" x="633"/>
        <item t="data" sd="1" m="1" x="546"/>
        <item t="data" sd="1" m="1" x="556"/>
        <item t="data" sd="1" m="1" x="643"/>
        <item t="data" sd="1" m="1" x="634"/>
        <item t="data" sd="1" m="1" x="635"/>
        <item t="data" sd="1" m="1" x="636"/>
        <item t="data" sd="1" m="1" x="613"/>
        <item t="data" sd="1" m="1" x="637"/>
        <item t="data" sd="1" m="1" x="582"/>
        <item t="data" sd="1" m="1" x="601"/>
        <item t="data" sd="1" m="1" x="638"/>
        <item t="data" sd="1" m="1" x="639"/>
        <item t="data" sd="1" m="1" x="640"/>
        <item t="data" sd="1" m="1" x="641"/>
        <item t="data" sd="1" m="1" x="642"/>
        <item t="data" sd="1" m="1" x="547"/>
        <item t="data" sd="1" m="1" x="602"/>
        <item t="data" sd="1" m="1" x="629"/>
        <item t="data" sd="1" m="1" x="603"/>
        <item t="data" sd="1" m="1" x="583"/>
        <item t="data" sd="1" m="1" x="592"/>
        <item t="data" sd="1" m="1" x="548"/>
        <item t="data" sd="1" m="1" x="608"/>
        <item t="data" sd="1" m="1" x="584"/>
        <item t="data" sd="1" m="1" x="644"/>
        <item t="data" sd="1" m="1" x="670"/>
        <item t="data" sd="1" m="1" x="566"/>
        <item t="data" sd="1" m="1" x="585"/>
        <item t="data" sd="1" m="1" x="659"/>
        <item t="data" sd="1" m="1" x="647"/>
        <item t="data" sd="1" m="1" x="586"/>
        <item t="data" sd="1" m="1" x="569"/>
        <item t="data" sd="1" m="1" x="614"/>
        <item t="data" sd="1" m="1" x="587"/>
        <item t="data" sd="1" m="1" x="645"/>
        <item t="data" sd="1" m="1" x="649"/>
        <item t="data" sd="1" m="1" x="686"/>
        <item t="data" sd="1" m="1" x="671"/>
        <item t="data" sd="1" m="1" x="610"/>
        <item t="data" sd="1" m="1" x="549"/>
        <item t="data" sd="1" m="1" x="588"/>
        <item t="data" sd="1" m="1" x="655"/>
        <item t="data" sd="1" m="1" x="579"/>
        <item t="data" sd="1" m="1" x="627"/>
        <item t="data" sd="1" m="1" x="620"/>
        <item t="data" sd="1" m="1" x="661"/>
        <item t="data" sd="1" m="1" x="589"/>
        <item t="data" sd="1" m="1" x="542"/>
        <item t="data" sd="1" m="1" x="624"/>
        <item t="data" sd="1" m="1" x="570"/>
        <item t="data" sd="1" m="1" x="657"/>
        <item t="data" sd="1" m="1" x="619"/>
        <item t="data" sd="1" m="1" x="609"/>
        <item t="data" sd="1" m="1" x="611"/>
        <item t="data" sd="1" m="1" x="626"/>
        <item t="data" sd="1" m="1" x="604"/>
        <item t="data" sd="1" m="1" x="606"/>
        <item t="data" sd="1" m="1" x="615"/>
        <item t="data" sd="1" m="1" x="526"/>
        <item t="data" sd="1" m="1" x="623"/>
        <item t="data" sd="1" m="1" x="553"/>
        <item t="data" sd="1" m="1" x="674"/>
        <item t="data" sd="1" m="1" x="535"/>
        <item t="data" sd="1" m="1" x="593"/>
        <item t="data" sd="1" m="1" x="531"/>
        <item t="data" sd="1" m="1" x="654"/>
        <item t="data" sd="1" m="1" x="559"/>
        <item t="data" sd="1" m="1" x="554"/>
        <item t="data" sd="1" m="1" x="622"/>
        <item t="data" sd="1" m="1" x="550"/>
        <item t="data" sd="1" m="1" x="540"/>
        <item t="data" sd="1" m="1" x="662"/>
        <item t="data" sd="1" m="1" x="675"/>
        <item t="data" sd="1" m="1" x="681"/>
        <item t="data" sd="1" m="1" x="673"/>
        <item t="data" sd="1" m="1" x="558"/>
        <item t="data" sd="1" m="1" x="544"/>
        <item t="data" sd="1" m="1" x="650"/>
        <item t="data" sd="1" m="1" x="680"/>
        <item t="data" sd="1" m="1" x="663"/>
        <item t="data" sd="1" m="1" x="616"/>
        <item t="data" sd="1" m="1" x="621"/>
        <item t="data" sd="1" m="1" x="612"/>
        <item t="data" sd="1" m="1" x="679"/>
        <item t="data" sd="1" m="1" x="648"/>
        <item t="data" sd="1" m="1" x="591"/>
        <item t="data" sd="1" m="1" x="539"/>
        <item t="data" sd="1" m="1" x="646"/>
        <item t="data" sd="1" m="1" x="574"/>
        <item t="data" sd="1" m="1" x="676"/>
        <item t="data" sd="1" m="1" x="534"/>
        <item t="data" sd="1" m="1" x="528"/>
        <item t="data" sd="1" m="1" x="536"/>
        <item t="data" sd="1" m="1" x="678"/>
        <item t="data" sd="1" m="1" x="578"/>
        <item t="data" sd="1" m="1" x="552"/>
        <item t="data" sd="1" m="1" x="617"/>
        <item t="data" sd="1" m="1" x="533"/>
        <item t="data" sd="1" m="1" x="511"/>
        <item t="data" sd="1" m="1" x="538"/>
        <item t="data" sd="1" m="1" x="669"/>
        <item t="data" sd="1" m="1" x="520"/>
        <item t="data" sd="1" m="1" x="577"/>
        <item t="data" sd="1" m="1" x="560"/>
        <item t="data" sd="1" m="1" x="551"/>
        <item t="data" sd="1" m="1" x="521"/>
        <item t="data" sd="1" m="1" x="532"/>
        <item t="data" sd="1" m="1" x="628"/>
        <item t="data" sd="1" m="1" x="571"/>
        <item t="data" sd="1" m="1" x="516"/>
        <item t="data" sd="1" m="1" x="653"/>
        <item t="data" sd="1" m="1" x="576"/>
        <item t="data" sd="1" m="1" x="664"/>
        <item t="data" sd="1" m="1" x="625"/>
        <item t="data" sd="1" m="1" x="658"/>
        <item t="data" sd="1" m="1" x="575"/>
        <item t="data" sd="1" m="1" x="595"/>
        <item t="data" sd="1" m="1" x="555"/>
        <item t="data" sd="1" m="1" x="682"/>
        <item t="data" sd="1" m="1" x="683"/>
        <item t="data" sd="1" m="1" x="687"/>
        <item t="data" sd="1" m="1" x="597"/>
        <item t="data" sd="1" m="1" x="596"/>
        <item t="data" sd="1" m="1" x="667"/>
        <item t="data" sd="1" m="1" x="518"/>
        <item t="data" sd="1" m="1" x="672"/>
        <item t="data" sd="1" m="1" x="594"/>
        <item t="data" sd="1" m="1" x="543"/>
        <item t="data" sd="1" m="1" x="660"/>
        <item t="data" sd="1" m="1" x="567"/>
        <item t="data" sd="1" m="1" x="565"/>
        <item t="data" sd="1" m="1" x="668"/>
        <item t="data" sd="1" m="1" x="684"/>
        <item t="data" sd="1" m="1" x="525"/>
        <item t="data" sd="1" m="1" x="590"/>
        <item t="data" sd="1" m="1" x="557"/>
        <item t="data" sd="1" m="1" x="689"/>
        <item t="data" sd="1" m="1" x="513"/>
        <item t="data" sd="1" m="1" x="515"/>
        <item t="data" sd="1" m="1" x="522"/>
        <item t="data" sd="1" m="1" x="580"/>
        <item t="data" sd="1" m="1" x="607"/>
        <item t="data" sd="1" m="1" x="605"/>
        <item t="data" sd="1" m="1" x="599"/>
        <item t="data" sd="1" m="1" x="512"/>
        <item t="data" sd="1" m="1" x="537"/>
        <item t="data" sd="1" m="1" x="510"/>
        <item t="data" sd="1" m="1" x="527"/>
        <item t="data" sd="1" m="1" x="509"/>
        <item t="data" sd="1" m="1" x="529"/>
        <item t="data" sd="1" m="1" x="330"/>
        <item t="data" sd="1" m="1" x="395"/>
        <item t="data" sd="1" m="1" x="374"/>
        <item t="data" sd="1" m="1" x="393"/>
        <item t="data" sd="1" m="1" x="421"/>
        <item t="data" sd="1" m="1" x="479"/>
        <item t="data" sd="1" m="1" x="422"/>
        <item t="data" sd="1" m="1" x="472"/>
        <item t="data" sd="1" m="1" x="432"/>
        <item t="data" sd="1" m="1" x="370"/>
        <item t="data" sd="1" m="1" x="398"/>
        <item t="data" sd="1" m="1" x="355"/>
        <item t="data" sd="1" m="1" x="407"/>
        <item t="data" sd="1" m="1" x="408"/>
        <item t="data" sd="1" m="1" x="460"/>
        <item t="data" sd="1" m="1" x="337"/>
        <item t="data" sd="1" m="1" x="420"/>
        <item t="data" sd="1" m="1" x="426"/>
        <item t="data" sd="1" m="1" x="350"/>
        <item t="data" sd="1" m="1" x="441"/>
        <item t="data" sd="1" m="1" x="348"/>
        <item t="data" sd="1" m="1" x="349"/>
        <item t="data" sd="1" m="1" x="406"/>
        <item t="data" sd="1" m="1" x="466"/>
        <item t="data" sd="1" m="1" x="465"/>
        <item t="data" sd="1" m="1" x="437"/>
        <item t="data" sd="1" m="1" x="427"/>
        <item t="data" sd="1" m="1" x="462"/>
        <item t="data" sd="1" m="1" x="343"/>
        <item t="data" sd="1" m="1" x="379"/>
        <item t="data" sd="1" m="1" x="494"/>
        <item t="data" sd="1" m="1" x="325"/>
        <item t="data" sd="1" m="1" x="478"/>
        <item t="data" sd="1" m="1" x="405"/>
        <item t="data" sd="1" m="1" x="386"/>
        <item t="data" sd="1" m="1" x="402"/>
        <item t="data" sd="1" m="1" x="327"/>
        <item t="data" sd="1" m="1" x="326"/>
        <item t="data" sd="1" m="1" x="495"/>
        <item t="data" sd="1" m="1" x="383"/>
        <item t="data" sd="1" m="1" x="442"/>
        <item t="data" sd="1" m="1" x="430"/>
        <item t="data" sd="1" m="1" x="424"/>
        <item t="data" sd="1" m="1" x="423"/>
        <item t="data" sd="1" m="1" x="373"/>
        <item t="data" sd="1" m="1" x="328"/>
        <item t="data" sd="1" m="1" x="378"/>
        <item t="data" sd="1" m="1" x="365"/>
        <item t="data" sd="1" m="1" x="485"/>
        <item t="data" sd="1" m="1" x="452"/>
        <item t="data" sd="1" m="1" x="454"/>
        <item t="data" sd="1" m="1" x="453"/>
        <item t="data" sd="1" m="1" x="372"/>
        <item t="data" sd="1" m="1" x="443"/>
        <item t="data" sd="1" m="1" x="366"/>
        <item t="data" sd="1" m="1" x="377"/>
        <item t="data" sd="1" m="1" x="338"/>
        <item t="data" sd="1" m="1" x="456"/>
        <item t="data" sd="1" m="1" x="449"/>
        <item t="data" sd="1" m="1" x="445"/>
        <item t="data" sd="1" m="1" x="390"/>
        <item t="data" sd="1" m="1" x="376"/>
        <item t="data" sd="1" m="1" x="357"/>
        <item t="data" sd="1" m="1" x="411"/>
        <item t="data" sd="1" m="1" x="474"/>
        <item t="data" sd="1" m="1" x="446"/>
        <item t="data" sd="1" m="1" x="410"/>
        <item t="data" sd="1" m="1" x="333"/>
        <item t="data" sd="1" m="1" x="331"/>
        <item t="data" sd="1" m="1" x="367"/>
        <item t="data" sd="1" m="1" x="375"/>
        <item t="data" sd="1" m="1" x="444"/>
        <item t="data" sd="1" m="1" x="473"/>
        <item t="data" sd="1" m="1" x="470"/>
        <item t="data" sd="1" m="1" x="380"/>
        <item t="data" sd="1" m="1" x="332"/>
        <item t="data" sd="1" m="1" x="499"/>
        <item t="data" sd="1" m="1" x="458"/>
        <item t="data" sd="1" m="1" x="334"/>
        <item t="data" sd="1" m="1" x="391"/>
        <item t="data" sd="1" m="1" x="425"/>
        <item t="data" sd="1" m="1" x="447"/>
        <item t="data" sd="1" m="1" x="417"/>
        <item t="data" sd="1" m="1" x="471"/>
        <item t="data" sd="1" m="1" x="339"/>
        <item t="data" sd="1" m="1" x="461"/>
        <item t="data" sd="1" m="1" x="352"/>
        <item t="data" sd="1" m="1" x="400"/>
        <item t="data" sd="1" m="1" x="497"/>
        <item t="data" sd="1" m="1" x="368"/>
        <item t="data" sd="1" m="1" x="503"/>
        <item t="data" sd="1" m="1" x="412"/>
        <item t="data" sd="1" m="1" x="500"/>
        <item t="data" sd="1" m="1" x="496"/>
        <item t="data" sd="1" m="1" x="505"/>
        <item t="data" sd="1" m="1" x="404"/>
        <item t="data" sd="1" m="1" x="364"/>
        <item t="data" sd="1" m="1" x="358"/>
        <item t="data" sd="1" m="1" x="491"/>
        <item t="data" sd="1" m="1" x="354"/>
        <item t="data" sd="1" m="1" x="388"/>
        <item t="data" sd="1" m="1" x="433"/>
        <item t="data" sd="1" m="1" x="492"/>
        <item t="data" sd="1" m="1" x="396"/>
        <item t="data" sd="1" m="1" x="502"/>
        <item t="data" sd="1" m="1" x="508"/>
        <item t="data" sd="1" m="1" x="507"/>
        <item t="data" sd="1" m="1" x="419"/>
        <item t="data" sd="1" m="1" x="418"/>
        <item t="data" sd="1" m="1" x="457"/>
        <item t="data" sd="1" m="1" x="362"/>
        <item t="data" sd="1" m="1" x="359"/>
        <item t="data" sd="1" m="1" x="498"/>
        <item t="data" sd="1" m="1" x="482"/>
        <item t="data" sd="1" m="1" x="435"/>
        <item t="data" sd="1" m="1" x="438"/>
        <item t="data" sd="1" m="1" x="403"/>
        <item t="data" sd="1" m="1" x="385"/>
        <item t="data" sd="1" m="1" x="476"/>
        <item t="data" sd="1" m="1" x="381"/>
        <item t="data" sd="1" m="1" x="486"/>
        <item t="data" sd="1" m="1" x="468"/>
        <item t="data" sd="1" m="1" x="371"/>
        <item t="data" sd="1" m="1" x="335"/>
        <item t="data" sd="1" m="1" x="392"/>
        <item t="data" sd="1" m="1" x="459"/>
        <item t="data" sd="1" m="1" x="387"/>
        <item t="data" sd="1" m="1" x="450"/>
        <item t="data" sd="1" m="1" x="464"/>
        <item t="data" sd="1" m="1" x="369"/>
        <item t="data" sd="1" m="1" x="344"/>
        <item t="data" sd="1" m="1" x="397"/>
        <item t="data" sd="1" m="1" x="434"/>
        <item t="data" sd="1" m="1" x="484"/>
        <item t="data" sd="1" m="1" x="416"/>
        <item t="data" sd="1" m="1" x="504"/>
        <item t="data" sd="1" m="1" x="345"/>
        <item t="data" sd="1" m="1" x="481"/>
        <item t="data" sd="1" m="1" x="340"/>
        <item t="data" sd="1" m="1" x="501"/>
        <item t="data" sd="1" m="1" x="346"/>
        <item t="data" sd="1" m="1" x="413"/>
        <item t="data" sd="1" m="1" x="490"/>
        <item t="data" sd="1" m="1" x="414"/>
        <item t="data" sd="1" m="1" x="347"/>
        <item t="data" sd="1" m="1" x="341"/>
        <item t="data" sd="1" m="1" x="436"/>
        <item t="data" sd="1" m="1" x="342"/>
        <item t="data" sd="1" m="1" x="451"/>
        <item t="data" sd="1" m="1" x="467"/>
        <item t="data" sd="1" m="1" x="469"/>
        <item t="data" sd="1" m="1" x="389"/>
        <item t="data" sd="1" m="1" x="415"/>
        <item t="data" sd="1" m="1" x="475"/>
        <item t="data" sd="1" m="1" x="401"/>
        <item t="data" sd="1" m="1" x="382"/>
        <item t="data" sd="1" m="1" x="353"/>
        <item t="data" sd="1" m="1" x="429"/>
        <item t="data" sd="1" m="1" x="477"/>
        <item t="data" sd="1" m="1" x="487"/>
        <item t="data" sd="1" m="1" x="329"/>
        <item t="data" sd="1" m="1" x="336"/>
        <item t="data" sd="1" m="1" x="541"/>
        <item t="data" sd="1" m="1" x="545"/>
        <item t="data" sd="1" m="1" x="351"/>
        <item t="data" sd="1" m="1" x="561"/>
        <item t="data" sd="1" m="1" x="562"/>
        <item t="data" sd="1" m="1" x="563"/>
        <item t="data" sd="1" m="1" x="564"/>
        <item t="data" sd="1" m="1" x="361"/>
        <item t="data" sd="1" m="1" x="514"/>
        <item t="data" sd="1" m="1" x="363"/>
        <item t="data" sd="1" m="1" x="517"/>
        <item t="data" sd="1" m="1" x="384"/>
        <item t="data" sd="1" m="1" x="519"/>
        <item t="data" sd="1" m="1" x="581"/>
        <item t="data" sd="1" m="1" x="394"/>
        <item t="data" sd="1" m="1" x="399"/>
        <item t="data" sd="1" m="1" x="523"/>
        <item t="data" sd="1" m="1" x="524"/>
        <item t="data" sd="1" m="1" x="409"/>
        <item t="data" sd="1" m="1" x="598"/>
        <item t="data" sd="1" m="1" x="530"/>
        <item t="data" sd="1" m="1" x="428"/>
        <item t="data" sd="1" m="1" x="439"/>
        <item t="data" sd="1" m="1" x="440"/>
        <item t="data" sd="1" m="1" x="651"/>
        <item t="data" sd="1" m="1" x="652"/>
        <item t="data" sd="1" m="1" x="656"/>
        <item t="data" sd="1" m="1" x="463"/>
        <item t="data" sd="1" m="1" x="665"/>
        <item t="data" sd="1" m="1" x="666"/>
        <item t="data" sd="1" m="1" x="480"/>
        <item t="data" sd="1" m="1" x="483"/>
        <item t="data" sd="1" m="1" x="677"/>
        <item t="data" sd="1" m="1" x="493"/>
        <item t="data" sd="1" m="1" x="685"/>
        <item t="data" sd="1" m="1" x="488"/>
        <item t="data" sd="1" m="1" x="455"/>
        <item t="data" sd="1" m="1" x="688"/>
        <item t="data" sd="1" m="1" x="506"/>
        <item t="data" sd="1" m="1" x="489"/>
        <item t="data" sd="1" m="1" x="448"/>
        <item t="data" sd="1" m="1" x="431"/>
        <item t="data" sd="1" m="1" x="356"/>
        <item t="data" sd="1" m="1" x="360"/>
        <item t="data" sd="1" x="111"/>
        <item t="data" sd="1" x="98"/>
        <item t="data" sd="1" x="165"/>
        <item t="data" sd="1" x="11"/>
        <item t="data" sd="1" x="95"/>
        <item t="data" sd="1" x="146"/>
        <item t="data" sd="1" x="130"/>
        <item t="data" sd="1" x="186"/>
        <item t="data" sd="1" m="1" x="301"/>
        <item t="data" sd="1" x="275"/>
        <item t="data" sd="1" x="73"/>
        <item t="data" sd="1" x="29"/>
        <item t="data" sd="1" x="36"/>
        <item t="data" sd="1" x="96"/>
        <item t="data" sd="1" x="155"/>
        <item t="data" sd="1" x="87"/>
        <item t="data" sd="1" x="86"/>
        <item t="data" sd="1" x="247"/>
        <item t="data" sd="1" x="76"/>
        <item t="data" sd="1" x="276"/>
        <item t="data" sd="1" x="112"/>
        <item t="data" sd="1" x="16"/>
        <item t="data" sd="1" x="201"/>
        <item t="data" sd="1" x="84"/>
        <item t="data" sd="1" x="169"/>
        <item t="data" sd="1" x="236"/>
        <item t="data" sd="1" x="44"/>
        <item t="data" sd="1" m="1" x="314"/>
        <item t="data" sd="1" x="43"/>
        <item t="data" sd="1" x="161"/>
        <item t="data" sd="1" x="5"/>
        <item t="data" sd="1" x="153"/>
        <item t="data" sd="1" x="49"/>
        <item t="data" sd="1" x="241"/>
        <item t="data" sd="1" x="25"/>
        <item t="data" sd="1" x="268"/>
        <item t="data" sd="1" x="151"/>
        <item t="data" sd="1" x="26"/>
        <item t="data" sd="1" x="138"/>
        <item t="data" sd="1" x="143"/>
        <item t="data" sd="1" x="269"/>
        <item t="data" sd="1" x="92"/>
        <item t="data" sd="1" x="57"/>
        <item t="data" sd="1" x="202"/>
        <item t="data" sd="1" x="187"/>
        <item t="data" sd="1" x="246"/>
        <item t="data" sd="1" x="190"/>
        <item t="data" sd="1" x="42"/>
        <item t="data" sd="1" x="32"/>
        <item t="data" sd="1" x="85"/>
        <item t="data" sd="1" x="15"/>
        <item t="data" sd="1" x="99"/>
        <item t="data" sd="1" x="121"/>
        <item t="data" sd="1" x="58"/>
        <item t="data" sd="1" x="233"/>
        <item t="data" sd="1" x="27"/>
        <item t="data" sd="1" m="1" x="295"/>
        <item t="data" sd="1" x="205"/>
        <item t="data" sd="1" x="97"/>
        <item t="data" sd="1" x="195"/>
        <item t="data" sd="1" x="122"/>
        <item t="data" sd="1" x="271"/>
        <item t="data" sd="1" x="263"/>
        <item t="data" sd="1" x="182"/>
        <item t="data" sd="1" x="70"/>
        <item t="data" sd="1" m="1" x="298"/>
        <item t="data" sd="1" x="120"/>
        <item t="data" sd="1" x="158"/>
        <item t="data" sd="1" x="238"/>
        <item t="data" sd="1" x="242"/>
        <item t="data" sd="1" x="102"/>
        <item t="data" sd="1" x="88"/>
        <item t="data" sd="1" x="106"/>
        <item t="data" sd="1" x="232"/>
        <item t="data" sd="1" x="69"/>
        <item t="data" sd="1" x="33"/>
        <item t="data" sd="1" x="72"/>
        <item t="data" sd="1" x="45"/>
        <item t="data" sd="1" x="100"/>
        <item t="data" sd="1" x="278"/>
        <item t="data" sd="1" x="245"/>
        <item t="data" sd="1" x="162"/>
        <item t="data" sd="1" x="28"/>
        <item t="data" sd="1" x="194"/>
        <item t="data" sd="1" x="248"/>
        <item t="data" sd="1" x="139"/>
        <item t="data" sd="1" x="77"/>
        <item t="data" sd="1" x="228"/>
        <item t="data" sd="1" x="282"/>
        <item t="data" sd="1" x="103"/>
        <item t="data" sd="1" x="4"/>
        <item t="data" sd="1" x="198"/>
        <item t="data" sd="1" x="46"/>
        <item t="data" sd="1" x="191"/>
        <item t="data" sd="1" x="160"/>
        <item t="data" sd="1" x="279"/>
        <item t="data" sd="1" x="78"/>
        <item t="data" sd="1" x="249"/>
        <item t="data" sd="1" x="207"/>
        <item t="data" sd="1" x="173"/>
        <item t="data" sd="1" x="80"/>
        <item t="data" sd="1" x="225"/>
        <item t="data" sd="1" x="180"/>
        <item t="data" sd="1" x="59"/>
        <item t="data" sd="1" x="101"/>
        <item t="data" sd="1" x="203"/>
        <item t="data" sd="1" x="48"/>
        <item t="data" sd="1" x="189"/>
        <item t="data" sd="1" x="12"/>
        <item t="data" sd="1" x="108"/>
        <item t="data" sd="1" x="124"/>
        <item t="data" sd="1" x="204"/>
        <item t="data" sd="1" x="176"/>
        <item t="data" sd="1" x="277"/>
        <item t="data" sd="1" x="2"/>
        <item t="data" sd="1" x="206"/>
        <item t="data" sd="1" x="47"/>
        <item t="data" sd="1" x="141"/>
        <item t="data" sd="1" x="123"/>
        <item t="data" sd="1" x="147"/>
        <item t="data" sd="1" x="154"/>
        <item t="data" sd="1" x="174"/>
        <item t="data" sd="1" x="163"/>
        <item t="data" sd="1" x="89"/>
        <item t="data" sd="1" x="227"/>
        <item t="data" sd="1" x="265"/>
        <item t="data" sd="1" x="183"/>
        <item t="data" sd="1" x="257"/>
        <item t="data" sd="1" x="234"/>
        <item t="data" sd="1" x="107"/>
        <item t="data" sd="1" x="226"/>
        <item t="data" sd="1" x="131"/>
        <item t="data" sd="1" x="197"/>
        <item t="data" sd="1" x="156"/>
        <item t="data" sd="1" x="199"/>
        <item t="data" sd="1" x="152"/>
        <item t="data" sd="1" x="109"/>
        <item t="data" sd="1" x="115"/>
        <item t="data" sd="1" x="125"/>
        <item t="data" sd="1" x="81"/>
        <item t="data" sd="1" x="24"/>
        <item t="data" sd="1" x="175"/>
        <item t="data" sd="1" x="252"/>
        <item t="data" sd="1" x="64"/>
        <item t="data" sd="1" x="113"/>
        <item t="data" sd="1" x="79"/>
        <item t="data" sd="1" x="62"/>
        <item t="data" sd="1" x="243"/>
        <item t="data" sd="1" m="1" x="300"/>
        <item t="data" sd="1" x="65"/>
        <item t="data" sd="1" x="114"/>
        <item t="data" sd="1" x="144"/>
        <item t="data" sd="1" x="34"/>
        <item t="data" sd="1" x="229"/>
        <item t="data" sd="1" x="39"/>
        <item t="data" sd="1" m="1" x="304"/>
        <item t="data" sd="1" m="1" x="321"/>
        <item t="data" sd="1" x="200"/>
        <item t="data" sd="1" x="157"/>
        <item t="data" sd="1" x="193"/>
        <item t="data" sd="1" m="1" x="294"/>
        <item t="data" sd="1" m="1" x="297"/>
        <item t="data" sd="1" x="280"/>
        <item t="data" sd="1" x="17"/>
        <item t="data" sd="1" x="208"/>
        <item t="data" sd="1" x="171"/>
        <item t="data" sd="1" x="63"/>
        <item t="data" sd="1" x="126"/>
        <item t="data" sd="1" x="35"/>
        <item t="data" sd="1" x="83"/>
        <item t="data" sd="1" x="209"/>
        <item t="data" sd="1" x="74"/>
        <item t="data" sd="1" x="185"/>
        <item t="data" sd="1" x="184"/>
        <item t="data" sd="1" x="68"/>
        <item t="data" sd="1" x="170"/>
        <item t="data" sd="1" x="145"/>
        <item t="data" sd="1" x="270"/>
        <item t="data" sd="1" x="240"/>
        <item t="data" sd="1" x="211"/>
        <item t="data" sd="1" x="281"/>
        <item t="data" sd="1" x="116"/>
        <item t="data" sd="1" x="94"/>
        <item t="data" sd="1" x="273"/>
        <item t="data" sd="1" x="93"/>
        <item t="data" sd="1" x="117"/>
        <item t="data" sd="1" x="22"/>
        <item t="data" sd="1" m="1" x="296"/>
        <item t="data" sd="1" x="133"/>
        <item t="data" sd="1" x="136"/>
        <item t="data" sd="1" x="235"/>
        <item t="data" sd="1" x="134"/>
        <item t="data" sd="1" x="104"/>
        <item t="data" sd="1" x="128"/>
        <item t="data" sd="1" x="66"/>
        <item t="data" sd="1" x="82"/>
        <item t="data" sd="1" x="177"/>
        <item t="data" sd="1" x="91"/>
        <item t="data" sd="1" x="178"/>
        <item t="data" sd="1" x="259"/>
        <item t="data" sd="1" x="140"/>
        <item t="data" sd="1" x="255"/>
        <item t="data" sd="1" x="71"/>
        <item t="data" sd="1" x="14"/>
        <item t="data" sd="1" x="6"/>
        <item t="data" sd="1" x="149"/>
        <item t="data" sd="1" x="179"/>
        <item t="data" sd="1" m="1" x="299"/>
        <item t="data" sd="1" x="18"/>
        <item t="data" sd="1" x="60"/>
        <item t="data" sd="1" x="237"/>
        <item t="data" sd="1" x="40"/>
        <item t="data" sd="1" x="30"/>
        <item t="data" sd="1" x="1"/>
        <item t="data" sd="1" x="61"/>
        <item t="data" sd="1" x="105"/>
        <item t="data" sd="1" x="67"/>
        <item t="data" sd="1" x="110"/>
        <item t="data" sd="1" x="159"/>
        <item t="data" sd="1" x="38"/>
        <item t="data" sd="1" x="210"/>
        <item t="data" sd="1" x="135"/>
        <item t="data" sd="1" x="127"/>
        <item t="data" sd="1" m="1" x="302"/>
        <item t="data" sd="1" x="274"/>
        <item t="data" sd="1" x="254"/>
        <item t="data" sd="1" x="9"/>
        <item t="data" sd="1" x="90"/>
        <item t="data" sd="1" x="142"/>
        <item t="data" sd="1" x="239"/>
        <item t="data" sd="1" x="0"/>
        <item t="data" sd="1" x="230"/>
        <item t="data" sd="1" m="1" x="303"/>
        <item t="data" sd="1" x="8"/>
        <item t="data" sd="1" x="13"/>
        <item t="data" sd="1" x="132"/>
        <item t="data" sd="1" x="212"/>
        <item t="data" sd="1" x="75"/>
        <item t="data" sd="1" x="7"/>
        <item t="data" sd="1" m="1" x="305"/>
        <item t="data" sd="1" x="251"/>
        <item t="data" sd="1" x="118"/>
        <item t="data" sd="1" x="23"/>
        <item t="data" sd="1" x="51"/>
        <item t="data" sd="1" m="1" x="306"/>
        <item t="data" sd="1" m="1" x="307"/>
        <item t="data" sd="1" x="188"/>
        <item t="data" sd="1" x="164"/>
        <item t="data" sd="1" x="53"/>
        <item t="data" sd="1" x="287"/>
        <item t="data" sd="1" x="31"/>
        <item t="data" sd="1" x="196"/>
        <item t="data" sd="1" x="37"/>
        <item t="data" sd="1" x="19"/>
        <item t="data" sd="1" m="1" x="308"/>
        <item t="data" sd="1" x="172"/>
        <item t="data" sd="1" x="256"/>
        <item t="data" sd="1" x="288"/>
        <item t="data" sd="1" x="166"/>
        <item t="data" sd="1" x="3"/>
        <item t="data" sd="1" x="272"/>
        <item t="data" sd="1" m="1" x="309"/>
        <item t="data" sd="1" x="231"/>
        <item t="data" sd="1" x="150"/>
        <item t="data" sd="1" x="291"/>
        <item t="data" sd="1" m="1" x="310"/>
        <item t="data" sd="1" x="192"/>
        <item t="data" sd="1" x="137"/>
        <item t="data" sd="1" m="1" x="313"/>
        <item t="data" sd="1" x="213"/>
        <item t="data" sd="1" x="50"/>
        <item t="data" sd="1" x="119"/>
        <item t="data" sd="1" x="41"/>
        <item t="data" sd="1" x="56"/>
        <item t="data" sd="1" x="55"/>
        <item t="data" sd="1" m="1" x="315"/>
        <item t="data" sd="1" x="129"/>
        <item t="data" sd="1" m="1" x="316"/>
        <item t="data" sd="1" m="1" x="317"/>
        <item t="data" sd="1" x="148"/>
        <item t="data" sd="1" x="244"/>
        <item t="data" sd="1" x="217"/>
        <item t="data" sd="1" x="21"/>
        <item t="data" sd="1" m="1" x="318"/>
        <item t="data" sd="1" x="220"/>
        <item t="data" sd="1" x="20"/>
        <item t="data" sd="1" m="1" x="319"/>
        <item t="data" sd="1" x="284"/>
        <item t="data" sd="1" m="1" x="320"/>
        <item t="data" sd="1" x="286"/>
        <item t="data" sd="1" x="215"/>
        <item t="data" sd="1" m="1" x="322"/>
        <item t="data" sd="1" x="262"/>
        <item t="data" sd="1" x="253"/>
        <item t="data" sd="1" m="1" x="323"/>
        <item t="data" sd="1" x="219"/>
        <item t="data" sd="1" m="1" x="324"/>
        <item t="data" sd="1" x="285"/>
        <item t="data" sd="1" x="218"/>
        <item t="data" sd="1" m="1" x="293"/>
        <item t="data" sd="1" x="10"/>
        <item t="data" sd="1" x="264"/>
        <item t="data" sd="1" x="52"/>
        <item t="data" sd="1" x="283"/>
        <item t="data" sd="1" x="214"/>
        <item t="data" sd="1" m="1" x="311"/>
        <item t="data" sd="1" x="216"/>
        <item t="data" sd="1" m="1" x="312"/>
        <item t="data" sd="1" x="261"/>
        <item t="data" sd="1" x="266"/>
        <item t="data" sd="1" x="54"/>
        <item t="data" sd="1" x="167"/>
        <item t="data" sd="1" x="168"/>
        <item t="data" sd="1" x="181"/>
        <item t="data" sd="1" x="221"/>
        <item t="data" sd="1" x="222"/>
        <item t="data" sd="1" x="223"/>
        <item t="data" sd="1" x="224"/>
        <item t="data" sd="1" x="250"/>
        <item t="data" sd="1" x="258"/>
        <item t="data" sd="1" x="260"/>
        <item t="data" sd="1" x="267"/>
        <item t="data" sd="1" x="289"/>
        <item t="data" sd="1" x="290"/>
        <item t="data" sd="1" x="29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0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0">
      <items count="14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</items>
    </pivotField>
    <pivotField showDropDowns="1" compact="1" outline="1" subtotalTop="1" dragToRow="1" dragToCol="1" dragToPage="1" dragToData="1" dragOff="1" showAll="0" topAutoShow="1" itemPageCount="10" sortType="manual" defaultSubtotal="0">
      <items count="6">
        <item t="data" sd="0" x="1"/>
        <item t="data" sd="0" x="2"/>
        <item t="data" sd="0" x="3"/>
        <item t="data" sd="0" x="4"/>
        <item t="data" sd="1" x="0"/>
        <item t="data" sd="1" x="5"/>
      </items>
    </pivotField>
    <pivotField axis="axisCol" showDropDowns="1" compact="1" outline="1" subtotalTop="1" dragToRow="1" dragToCol="1" dragToPage="1" dragToData="1" dragOff="1" showAll="0" topAutoShow="1" itemPageCount="10" sortType="manual" defaultSubtotal="0">
      <items count="3">
        <item t="data" sd="1" x="1"/>
        <item t="data" sd="1" x="0"/>
        <item t="data" sd="1" x="2"/>
      </items>
    </pivotField>
  </pivotFields>
  <rowFields count="2">
    <field x="28"/>
    <field x="26"/>
  </rowFields>
  <rowItems count="9">
    <i t="data" r="0" i="0">
      <x v="0"/>
      <x v="0"/>
    </i>
    <i t="data" r="1" i="0">
      <x v="1"/>
    </i>
    <i t="data" r="1" i="0">
      <x v="2"/>
    </i>
    <i t="default" r="0" i="0">
      <x v="0"/>
    </i>
    <i t="data" r="0" i="0">
      <x v="1"/>
      <x v="0"/>
    </i>
    <i t="data" r="1" i="0">
      <x v="1"/>
    </i>
    <i t="data" r="1" i="0">
      <x v="2"/>
    </i>
    <i t="default" r="0" i="0">
      <x v="1"/>
    </i>
    <i t="grand" r="0" i="0">
      <x v="0"/>
    </i>
  </rowItems>
  <colFields count="2">
    <field x="32"/>
    <field x="30"/>
  </colFields>
  <colItems count="13">
    <i t="data" r="0" i="0">
      <x v="0"/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grand" r="0" i="0">
      <x v="0"/>
    </i>
  </colItems>
  <pageFields count="1">
    <pageField fld="9" hier="-1"/>
  </pageFields>
  <dataFields count="1">
    <dataField name="Sum of No. of PO Schd Line" fld="21" subtotal="sum" showDataAs="normal" baseField="0" baseItem="0"/>
  </dataFields>
  <formats count="33">
    <format action="formatting" dxfId="199">
      <pivotArea field="28" type="button" dataOnly="0" labelOnly="1" outline="0" axis="axisRow" fieldPosition="0"/>
    </format>
    <format action="formatting" dxfId="198">
      <pivotArea type="origin" dataOnly="0" labelOnly="1" outline="0" fieldPosition="0"/>
    </format>
    <format action="formatting" dxfId="197">
      <pivotArea field="32" type="button" dataOnly="0" labelOnly="1" outline="0" axis="axisCol" fieldPosition="0"/>
    </format>
    <format action="formatting" dxfId="196">
      <pivotArea type="origin" dataOnly="0" labelOnly="1" outline="0" fieldPosition="0"/>
    </format>
    <format action="formatting" dxfId="195">
      <pivotArea field="32" type="button" dataOnly="0" labelOnly="1" outline="0" axis="axisCol" fieldPosition="0"/>
    </format>
    <format action="formatting" dxfId="194">
      <pivotArea field="9" type="button" dataOnly="0" labelOnly="1" outline="0" axis="axisPage" fieldPosition="0"/>
    </format>
    <format action="formatting" dxfId="193">
      <pivotArea type="normal" dataOnly="0" labelOnly="1" outline="0" fieldPosition="0">
        <references count="1">
          <reference field="9"/>
        </references>
      </pivotArea>
    </format>
    <format action="formatting" dxfId="192">
      <pivotArea field="9" type="button" dataOnly="0" labelOnly="1" outline="0" axis="axisPage" fieldPosition="0"/>
    </format>
    <format action="formatting" dxfId="191">
      <pivotArea type="normal" dataOnly="0" labelOnly="1" outline="0" fieldPosition="0">
        <references count="1">
          <reference field="9"/>
        </references>
      </pivotArea>
    </format>
    <format action="formatting" dxfId="190">
      <pivotArea type="normal" dataOnly="1" outline="0" collapsedLevelsAreSubtotals="1" fieldPosition="0"/>
    </format>
    <format action="formatting" dxfId="189">
      <pivotArea type="normal" dataOnly="0" labelOnly="1" grandCol="1" outline="0" fieldPosition="0"/>
    </format>
    <format action="formatting" dxfId="188">
      <pivotArea field="26" type="button" dataOnly="0" labelOnly="1" outline="0" axis="axisRow" fieldPosition="1"/>
    </format>
    <format action="formatting" dxfId="187">
      <pivotArea type="normal" dataOnly="0" labelOnly="1" outline="1" fieldPosition="0">
        <references count="2">
          <reference field="26"/>
          <reference field="28" selected="0">
            <x v="0"/>
          </reference>
        </references>
      </pivotArea>
    </format>
    <format action="formatting" dxfId="186">
      <pivotArea type="normal" dataOnly="0" labelOnly="1" outline="1" fieldPosition="0">
        <references count="2">
          <reference field="26"/>
          <reference field="28" selected="0">
            <x v="1"/>
          </reference>
        </references>
      </pivotArea>
    </format>
    <format action="formatting" dxfId="185">
      <pivotArea type="normal" dataOnly="0" labelOnly="1" outline="1" fieldPosition="0">
        <references count="1">
          <reference field="28">
            <x v="0"/>
          </reference>
        </references>
      </pivotArea>
    </format>
    <format action="formatting" dxfId="184">
      <pivotArea type="normal" dataOnly="0" labelOnly="1" outline="1" fieldPosition="0">
        <references count="1">
          <reference field="28" defaultSubtotal="1">
            <x v="0"/>
          </reference>
        </references>
      </pivotArea>
    </format>
    <format action="formatting" dxfId="183">
      <pivotArea type="normal" dataOnly="0" labelOnly="1" outline="1" fieldPosition="0">
        <references count="1">
          <reference field="28">
            <x v="1"/>
          </reference>
        </references>
      </pivotArea>
    </format>
    <format action="formatting" dxfId="182">
      <pivotArea type="normal" dataOnly="0" labelOnly="1" outline="1" fieldPosition="0">
        <references count="1">
          <reference field="28" defaultSubtotal="1">
            <x v="1"/>
          </reference>
        </references>
      </pivotArea>
    </format>
    <format action="formatting" dxfId="181">
      <pivotArea type="normal" dataOnly="0" labelOnly="1" grandRow="1" outline="0" fieldPosition="0"/>
    </format>
    <format action="formatting" dxfId="180">
      <pivotArea type="normal" dataOnly="0" labelOnly="1" outline="1" fieldPosition="0">
        <references count="1">
          <reference field="28"/>
        </references>
      </pivotArea>
    </format>
    <format action="formatting" dxfId="179">
      <pivotArea type="normal" dataOnly="0" labelOnly="1" outline="1" fieldPosition="0">
        <references count="1">
          <reference field="28" defaultSubtotal="1"/>
        </references>
      </pivotArea>
    </format>
    <format action="formatting" dxfId="178">
      <pivotArea type="normal" dataOnly="0" labelOnly="1" grandRow="1" outline="0" fieldPosition="0"/>
    </format>
    <format action="formatting" dxfId="177">
      <pivotArea type="normal" dataOnly="0" labelOnly="1" outline="1" fieldPosition="0">
        <references count="2">
          <reference field="26"/>
          <reference field="28" selected="0">
            <x v="0"/>
          </reference>
        </references>
      </pivotArea>
    </format>
    <format action="formatting" dxfId="176">
      <pivotArea type="normal" dataOnly="0" labelOnly="1" outline="1" fieldPosition="0">
        <references count="2">
          <reference field="26"/>
          <reference field="28" selected="0">
            <x v="1"/>
          </reference>
        </references>
      </pivotArea>
    </format>
    <format action="formatting" dxfId="175">
      <pivotArea type="normal" dataOnly="1" outline="0" collapsedLevelsAreSubtotals="1" fieldPosition="0"/>
    </format>
    <format action="formatting" dxfId="174">
      <pivotArea type="normal" dataOnly="1" outline="0" collapsedLevelsAreSubtotals="1" fieldPosition="0">
        <references count="2">
          <reference field="30" selected="0">
            <x v="1"/>
            <x v="2"/>
            <x v="3"/>
            <x v="4"/>
            <x v="5"/>
          </reference>
          <reference field="32" selected="0">
            <x v="0"/>
          </reference>
        </references>
      </pivotArea>
    </format>
    <format action="formatting" dxfId="173">
      <pivotArea type="normal" dataOnly="1" grandCol="1" outline="0" collapsedLevelsAreSubtotals="1" fieldPosition="0"/>
    </format>
    <format action="formatting" dxfId="172">
      <pivotArea type="normal" dataOnly="0" labelOnly="1" grandCol="1" outline="0" fieldPosition="0"/>
    </format>
    <format action="formatting" dxfId="171">
      <pivotArea type="normal" dataOnly="0" labelOnly="1" outline="1" fieldPosition="0">
        <references count="2">
          <reference field="30">
            <x v="1"/>
            <x v="2"/>
            <x v="3"/>
            <x v="4"/>
            <x v="5"/>
          </reference>
          <reference field="32" selected="0">
            <x v="0"/>
          </reference>
        </references>
      </pivotArea>
    </format>
    <format action="formatting" dxfId="170">
      <pivotArea type="normal" dataOnly="1" outline="0" collapsedLevelsAreSubtotals="1" fieldPosition="0">
        <references count="2">
          <reference field="30" selected="0">
            <x v="1"/>
          </reference>
          <reference field="32" selected="0">
            <x v="0"/>
          </reference>
        </references>
      </pivotArea>
    </format>
    <format action="formatting" dxfId="169">
      <pivotArea type="normal" dataOnly="0" labelOnly="1" outline="1" fieldPosition="0">
        <references count="1">
          <reference field="32">
            <x v="0"/>
          </reference>
        </references>
      </pivotArea>
    </format>
    <format action="formatting" dxfId="168">
      <pivotArea type="normal" dataOnly="0" labelOnly="1" outline="1" fieldPosition="0">
        <references count="2">
          <reference field="30">
            <x v="1"/>
            <x v="2"/>
            <x v="3"/>
            <x v="4"/>
            <x v="5"/>
            <x v="6"/>
          </reference>
          <reference field="32" selected="0">
            <x v="0"/>
          </reference>
        </references>
      </pivotArea>
    </format>
    <format action="formatting" dxfId="167">
      <pivotArea type="normal" dataOnly="1" outline="0" collapsedLevelsAreSubtotals="1" fieldPosition="0">
        <references count="2">
          <reference field="30" selected="0">
            <x v="8"/>
          </reference>
          <reference field="32" selected="0">
            <x v="0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" cacheId="59" dataOnRows="0" dataCaption="Values" grandTotalCaption="Total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P16" firstHeaderRow="1" firstDataRow="3" firstDataCol="2" rowPageCount="1" colPageCount="1"/>
  <pivotFields count="3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0" subtotalTop="1" dragToRow="1" dragToCol="1" dragToPage="1" dragToData="1" dragOff="1" showAll="0" topAutoShow="1" itemPageCount="10" sortType="manual" defaultSubtotal="1">
      <items count="4">
        <item t="data" sd="1" x="0"/>
        <item t="data" sd="1" m="1" x="2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19">
        <item t="data" sd="1" x="1"/>
        <item t="data" sd="1" m="1" x="17"/>
        <item t="data" sd="1" m="1" x="11"/>
        <item t="data" sd="1" m="1" x="9"/>
        <item t="data" sd="1" m="1" x="12"/>
        <item t="data" sd="1" m="1" x="10"/>
        <item t="data" sd="1" m="1" x="8"/>
        <item t="data" sd="1" m="1" x="13"/>
        <item t="data" sd="1" m="1" x="14"/>
        <item t="data" sd="1" m="1" x="15"/>
        <item t="data" sd="1" m="1" x="16"/>
        <item t="data" sd="1" x="0"/>
        <item t="data" sd="1" x="2"/>
        <item t="data" sd="1" x="3"/>
        <item t="data" sd="1" x="4"/>
        <item t="data" sd="1" x="5"/>
        <item t="data" sd="1" x="6"/>
        <item t="data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9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>
      <items count="936">
        <item t="data" sd="1" m="1" x="805"/>
        <item t="data" sd="1" m="1" x="789"/>
        <item t="data" sd="1" m="1" x="818"/>
        <item t="data" sd="1" m="1" x="790"/>
        <item t="data" sd="1" m="1" x="934"/>
        <item t="data" sd="1" m="1" x="791"/>
        <item t="data" sd="1" m="1" x="792"/>
        <item t="data" sd="1" m="1" x="920"/>
        <item t="data" sd="1" m="1" x="819"/>
        <item t="data" sd="1" m="1" x="793"/>
        <item t="data" sd="1" m="1" x="794"/>
        <item t="data" sd="1" m="1" x="796"/>
        <item t="data" sd="1" m="1" x="806"/>
        <item t="data" sd="1" m="1" x="795"/>
        <item t="data" sd="1" m="1" x="797"/>
        <item t="data" sd="1" m="1" x="798"/>
        <item t="data" sd="1" m="1" x="799"/>
        <item t="data" sd="1" m="1" x="800"/>
        <item t="data" sd="1" m="1" x="898"/>
        <item t="data" sd="1" m="1" x="820"/>
        <item t="data" sd="1" m="1" x="821"/>
        <item t="data" sd="1" m="1" x="811"/>
        <item t="data" sd="1" m="1" x="813"/>
        <item t="data" sd="1" m="1" x="801"/>
        <item t="data" sd="1" m="1" x="802"/>
        <item t="data" sd="1" m="1" x="803"/>
        <item t="data" sd="1" m="1" x="902"/>
        <item t="data" sd="1" m="1" x="804"/>
        <item t="data" sd="1" m="1" x="822"/>
        <item t="data" sd="1" m="1" x="808"/>
        <item t="data" sd="1" m="1" x="909"/>
        <item t="data" sd="1" m="1" x="905"/>
        <item t="data" sd="1" m="1" x="930"/>
        <item t="data" sd="1" m="1" x="823"/>
        <item t="data" sd="1" m="1" x="824"/>
        <item t="data" sd="1" m="1" x="812"/>
        <item t="data" sd="1" m="1" x="826"/>
        <item t="data" sd="1" m="1" x="825"/>
        <item t="data" sd="1" m="1" x="827"/>
        <item t="data" sd="1" m="1" x="908"/>
        <item t="data" sd="1" m="1" x="828"/>
        <item t="data" sd="1" m="1" x="927"/>
        <item t="data" sd="1" m="1" x="829"/>
        <item t="data" sd="1" m="1" x="830"/>
        <item t="data" sd="1" m="1" x="928"/>
        <item t="data" sd="1" m="1" x="922"/>
        <item t="data" sd="1" m="1" x="831"/>
        <item t="data" sd="1" m="1" x="832"/>
        <item t="data" sd="1" m="1" x="833"/>
        <item t="data" sd="1" m="1" x="834"/>
        <item t="data" sd="1" m="1" x="835"/>
        <item t="data" sd="1" m="1" x="836"/>
        <item t="data" sd="1" m="1" x="901"/>
        <item t="data" sd="1" m="1" x="899"/>
        <item t="data" sd="1" m="1" x="838"/>
        <item t="data" sd="1" m="1" x="837"/>
        <item t="data" sd="1" m="1" x="839"/>
        <item t="data" sd="1" m="1" x="840"/>
        <item t="data" sd="1" m="1" x="841"/>
        <item t="data" sd="1" m="1" x="903"/>
        <item t="data" sd="1" m="1" x="904"/>
        <item t="data" sd="1" m="1" x="842"/>
        <item t="data" sd="1" m="1" x="931"/>
        <item t="data" sd="1" m="1" x="843"/>
        <item t="data" sd="1" m="1" x="923"/>
        <item t="data" sd="1" m="1" x="844"/>
        <item t="data" sd="1" m="1" x="743"/>
        <item t="data" sd="1" m="1" x="759"/>
        <item t="data" sd="1" m="1" x="910"/>
        <item t="data" sd="1" m="1" x="845"/>
        <item t="data" sd="1" m="1" x="918"/>
        <item t="data" sd="1" m="1" x="929"/>
        <item t="data" sd="1" m="1" x="846"/>
        <item t="data" sd="1" m="1" x="847"/>
        <item t="data" sd="1" m="1" x="760"/>
        <item t="data" sd="1" m="1" x="919"/>
        <item t="data" sd="1" m="1" x="848"/>
        <item t="data" sd="1" m="1" x="781"/>
        <item t="data" sd="1" m="1" x="741"/>
        <item t="data" sd="1" m="1" x="849"/>
        <item t="data" sd="1" m="1" x="850"/>
        <item t="data" sd="1" m="1" x="851"/>
        <item t="data" sd="1" m="1" x="852"/>
        <item t="data" sd="1" m="1" x="817"/>
        <item t="data" sd="1" m="1" x="853"/>
        <item t="data" sd="1" m="1" x="776"/>
        <item t="data" sd="1" m="1" x="854"/>
        <item t="data" sd="1" m="1" x="786"/>
        <item t="data" sd="1" m="1" x="855"/>
        <item t="data" sd="1" m="1" x="932"/>
        <item t="data" sd="1" m="1" x="912"/>
        <item t="data" sd="1" m="1" x="727"/>
        <item t="data" sd="1" m="1" x="693"/>
        <item t="data" sd="1" m="1" x="856"/>
        <item t="data" sd="1" m="1" x="857"/>
        <item t="data" sd="1" m="1" x="858"/>
        <item t="data" sd="1" m="1" x="859"/>
        <item t="data" sd="1" m="1" x="921"/>
        <item t="data" sd="1" m="1" x="926"/>
        <item t="data" sd="1" m="1" x="933"/>
        <item t="data" sd="1" m="1" x="860"/>
        <item t="data" sd="1" m="1" x="917"/>
        <item t="data" sd="1" m="1" x="690"/>
        <item t="data" sd="1" m="1" x="861"/>
        <item t="data" sd="1" m="1" x="777"/>
        <item t="data" sd="1" m="1" x="736"/>
        <item t="data" sd="1" m="1" x="698"/>
        <item t="data" sd="1" m="1" x="712"/>
        <item t="data" sd="1" m="1" x="914"/>
        <item t="data" sd="1" m="1" x="862"/>
        <item t="data" sd="1" m="1" x="739"/>
        <item t="data" sd="1" m="1" x="915"/>
        <item t="data" sd="1" m="1" x="707"/>
        <item t="data" sd="1" m="1" x="713"/>
        <item t="data" sd="1" m="1" x="730"/>
        <item t="data" sd="1" m="1" x="863"/>
        <item t="data" sd="1" m="1" x="864"/>
        <item t="data" sd="1" m="1" x="728"/>
        <item t="data" sd="1" m="1" x="706"/>
        <item t="data" sd="1" m="1" x="916"/>
        <item t="data" sd="1" m="1" x="913"/>
        <item t="data" sd="1" m="1" x="744"/>
        <item t="data" sd="1" m="1" x="696"/>
        <item t="data" sd="1" m="1" x="865"/>
        <item t="data" sd="1" m="1" x="866"/>
        <item t="data" sd="1" m="1" x="809"/>
        <item t="data" sd="1" m="1" x="773"/>
        <item t="data" sd="1" m="1" x="779"/>
        <item t="data" sd="1" m="1" x="867"/>
        <item t="data" sd="1" m="1" x="906"/>
        <item t="data" sd="1" m="1" x="924"/>
        <item t="data" sd="1" m="1" x="787"/>
        <item t="data" sd="1" m="1" x="810"/>
        <item t="data" sd="1" m="1" x="734"/>
        <item t="data" sd="1" m="1" x="868"/>
        <item t="data" sd="1" m="1" x="771"/>
        <item t="data" sd="1" m="1" x="761"/>
        <item t="data" sd="1" m="1" x="869"/>
        <item t="data" sd="1" m="1" x="721"/>
        <item t="data" sd="1" m="1" x="870"/>
        <item t="data" sd="1" m="1" x="871"/>
        <item t="data" sd="1" m="1" x="911"/>
        <item t="data" sd="1" m="1" x="731"/>
        <item t="data" sd="1" m="1" x="763"/>
        <item t="data" sd="1" m="1" x="775"/>
        <item t="data" sd="1" m="1" x="766"/>
        <item t="data" sd="1" m="1" x="735"/>
        <item t="data" sd="1" m="1" x="872"/>
        <item t="data" sd="1" m="1" x="754"/>
        <item t="data" sd="1" m="1" x="695"/>
        <item t="data" sd="1" m="1" x="708"/>
        <item t="data" sd="1" m="1" x="705"/>
        <item t="data" sd="1" m="1" x="762"/>
        <item t="data" sd="1" m="1" x="873"/>
        <item t="data" sd="1" m="1" x="701"/>
        <item t="data" sd="1" m="1" x="874"/>
        <item t="data" sd="1" m="1" x="711"/>
        <item t="data" sd="1" m="1" x="875"/>
        <item t="data" sd="1" m="1" x="746"/>
        <item t="data" sd="1" m="1" x="876"/>
        <item t="data" sd="1" m="1" x="877"/>
        <item t="data" sd="1" m="1" x="702"/>
        <item t="data" sd="1" m="1" x="699"/>
        <item t="data" sd="1" m="1" x="700"/>
        <item t="data" sd="1" m="1" x="747"/>
        <item t="data" sd="1" m="1" x="765"/>
        <item t="data" sd="1" m="1" x="725"/>
        <item t="data" sd="1" m="1" x="757"/>
        <item t="data" sd="1" m="1" x="737"/>
        <item t="data" sd="1" m="1" x="732"/>
        <item t="data" sd="1" m="1" x="895"/>
        <item t="data" sd="1" m="1" x="748"/>
        <item t="data" sd="1" m="1" x="878"/>
        <item t="data" sd="1" m="1" x="907"/>
        <item t="data" sd="1" m="1" x="879"/>
        <item t="data" sd="1" m="1" x="750"/>
        <item t="data" sd="1" m="1" x="770"/>
        <item t="data" sd="1" m="1" x="774"/>
        <item t="data" sd="1" m="1" x="880"/>
        <item t="data" sd="1" m="1" x="816"/>
        <item t="data" sd="1" m="1" x="756"/>
        <item t="data" sd="1" m="1" x="753"/>
        <item t="data" sd="1" m="1" x="881"/>
        <item t="data" sd="1" m="1" x="716"/>
        <item t="data" sd="1" m="1" x="722"/>
        <item t="data" sd="1" m="1" x="718"/>
        <item t="data" sd="1" m="1" x="717"/>
        <item t="data" sd="1" m="1" x="772"/>
        <item t="data" sd="1" m="1" x="709"/>
        <item t="data" sd="1" m="1" x="691"/>
        <item t="data" sd="1" m="1" x="745"/>
        <item t="data" sd="1" m="1" x="882"/>
        <item t="data" sd="1" m="1" x="729"/>
        <item t="data" sd="1" m="1" x="883"/>
        <item t="data" sd="1" m="1" x="764"/>
        <item t="data" sd="1" m="1" x="884"/>
        <item t="data" sd="1" m="1" x="719"/>
        <item t="data" sd="1" m="1" x="783"/>
        <item t="data" sd="1" m="1" x="720"/>
        <item t="data" sd="1" m="1" x="900"/>
        <item t="data" sd="1" m="1" x="925"/>
        <item t="data" sd="1" m="1" x="742"/>
        <item t="data" sd="1" m="1" x="814"/>
        <item t="data" sd="1" m="1" x="714"/>
        <item t="data" sd="1" m="1" x="724"/>
        <item t="data" sd="1" m="1" x="740"/>
        <item t="data" sd="1" m="1" x="885"/>
        <item t="data" sd="1" m="1" x="807"/>
        <item t="data" sd="1" m="1" x="886"/>
        <item t="data" sd="1" m="1" x="887"/>
        <item t="data" sd="1" m="1" x="694"/>
        <item t="data" sd="1" m="1" x="888"/>
        <item t="data" sd="1" m="1" x="726"/>
        <item t="data" sd="1" m="1" x="697"/>
        <item t="data" sd="1" m="1" x="889"/>
        <item t="data" sd="1" m="1" x="758"/>
        <item t="data" sd="1" m="1" x="751"/>
        <item t="data" sd="1" m="1" x="703"/>
        <item t="data" sd="1" m="1" x="785"/>
        <item t="data" sd="1" m="1" x="890"/>
        <item t="data" sd="1" m="1" x="891"/>
        <item t="data" sd="1" m="1" x="780"/>
        <item t="data" sd="1" m="1" x="788"/>
        <item t="data" sd="1" m="1" x="896"/>
        <item t="data" sd="1" m="1" x="710"/>
        <item t="data" sd="1" m="1" x="704"/>
        <item t="data" sd="1" m="1" x="784"/>
        <item t="data" sd="1" m="1" x="897"/>
        <item t="data" sd="1" m="1" x="892"/>
        <item t="data" sd="1" m="1" x="752"/>
        <item t="data" sd="1" m="1" x="893"/>
        <item t="data" sd="1" m="1" x="715"/>
        <item t="data" sd="1" m="1" x="749"/>
        <item t="data" sd="1" m="1" x="767"/>
        <item t="data" sd="1" m="1" x="815"/>
        <item t="data" sd="1" m="1" x="692"/>
        <item t="data" sd="1" m="1" x="733"/>
        <item t="data" sd="1" m="1" x="738"/>
        <item t="data" sd="1" m="1" x="755"/>
        <item t="data" sd="1" m="1" x="769"/>
        <item t="data" sd="1" m="1" x="723"/>
        <item t="data" sd="1" m="1" x="768"/>
        <item t="data" sd="1" m="1" x="894"/>
        <item t="data" sd="1" m="1" x="782"/>
        <item t="data" sd="1" m="1" x="778"/>
        <item t="data" sd="1" m="1" x="618"/>
        <item t="data" sd="1" m="1" x="630"/>
        <item t="data" sd="1" m="1" x="631"/>
        <item t="data" sd="1" m="1" x="600"/>
        <item t="data" sd="1" m="1" x="572"/>
        <item t="data" sd="1" m="1" x="573"/>
        <item t="data" sd="1" m="1" x="568"/>
        <item t="data" sd="1" m="1" x="632"/>
        <item t="data" sd="1" m="1" x="633"/>
        <item t="data" sd="1" m="1" x="546"/>
        <item t="data" sd="1" m="1" x="556"/>
        <item t="data" sd="1" m="1" x="643"/>
        <item t="data" sd="1" m="1" x="634"/>
        <item t="data" sd="1" m="1" x="635"/>
        <item t="data" sd="1" m="1" x="636"/>
        <item t="data" sd="1" m="1" x="613"/>
        <item t="data" sd="1" m="1" x="637"/>
        <item t="data" sd="1" m="1" x="582"/>
        <item t="data" sd="1" m="1" x="601"/>
        <item t="data" sd="1" m="1" x="638"/>
        <item t="data" sd="1" m="1" x="639"/>
        <item t="data" sd="1" m="1" x="640"/>
        <item t="data" sd="1" m="1" x="641"/>
        <item t="data" sd="1" m="1" x="642"/>
        <item t="data" sd="1" m="1" x="547"/>
        <item t="data" sd="1" m="1" x="602"/>
        <item t="data" sd="1" m="1" x="629"/>
        <item t="data" sd="1" m="1" x="603"/>
        <item t="data" sd="1" m="1" x="583"/>
        <item t="data" sd="1" m="1" x="592"/>
        <item t="data" sd="1" m="1" x="548"/>
        <item t="data" sd="1" m="1" x="608"/>
        <item t="data" sd="1" m="1" x="584"/>
        <item t="data" sd="1" m="1" x="644"/>
        <item t="data" sd="1" m="1" x="670"/>
        <item t="data" sd="1" m="1" x="566"/>
        <item t="data" sd="1" m="1" x="585"/>
        <item t="data" sd="1" m="1" x="659"/>
        <item t="data" sd="1" m="1" x="647"/>
        <item t="data" sd="1" m="1" x="586"/>
        <item t="data" sd="1" m="1" x="569"/>
        <item t="data" sd="1" m="1" x="614"/>
        <item t="data" sd="1" m="1" x="587"/>
        <item t="data" sd="1" m="1" x="645"/>
        <item t="data" sd="1" m="1" x="649"/>
        <item t="data" sd="1" m="1" x="686"/>
        <item t="data" sd="1" m="1" x="671"/>
        <item t="data" sd="1" m="1" x="610"/>
        <item t="data" sd="1" m="1" x="549"/>
        <item t="data" sd="1" m="1" x="588"/>
        <item t="data" sd="1" m="1" x="655"/>
        <item t="data" sd="1" m="1" x="579"/>
        <item t="data" sd="1" m="1" x="627"/>
        <item t="data" sd="1" m="1" x="620"/>
        <item t="data" sd="1" m="1" x="661"/>
        <item t="data" sd="1" m="1" x="589"/>
        <item t="data" sd="1" m="1" x="542"/>
        <item t="data" sd="1" m="1" x="624"/>
        <item t="data" sd="1" m="1" x="570"/>
        <item t="data" sd="1" m="1" x="657"/>
        <item t="data" sd="1" m="1" x="619"/>
        <item t="data" sd="1" m="1" x="609"/>
        <item t="data" sd="1" m="1" x="611"/>
        <item t="data" sd="1" m="1" x="626"/>
        <item t="data" sd="1" m="1" x="604"/>
        <item t="data" sd="1" m="1" x="606"/>
        <item t="data" sd="1" m="1" x="615"/>
        <item t="data" sd="1" m="1" x="526"/>
        <item t="data" sd="1" m="1" x="623"/>
        <item t="data" sd="1" m="1" x="553"/>
        <item t="data" sd="1" m="1" x="674"/>
        <item t="data" sd="1" m="1" x="535"/>
        <item t="data" sd="1" m="1" x="593"/>
        <item t="data" sd="1" m="1" x="531"/>
        <item t="data" sd="1" m="1" x="654"/>
        <item t="data" sd="1" m="1" x="559"/>
        <item t="data" sd="1" m="1" x="554"/>
        <item t="data" sd="1" m="1" x="622"/>
        <item t="data" sd="1" m="1" x="550"/>
        <item t="data" sd="1" m="1" x="540"/>
        <item t="data" sd="1" m="1" x="662"/>
        <item t="data" sd="1" m="1" x="675"/>
        <item t="data" sd="1" m="1" x="681"/>
        <item t="data" sd="1" m="1" x="673"/>
        <item t="data" sd="1" m="1" x="558"/>
        <item t="data" sd="1" m="1" x="544"/>
        <item t="data" sd="1" m="1" x="650"/>
        <item t="data" sd="1" m="1" x="680"/>
        <item t="data" sd="1" m="1" x="663"/>
        <item t="data" sd="1" m="1" x="616"/>
        <item t="data" sd="1" m="1" x="621"/>
        <item t="data" sd="1" m="1" x="612"/>
        <item t="data" sd="1" m="1" x="679"/>
        <item t="data" sd="1" m="1" x="648"/>
        <item t="data" sd="1" m="1" x="591"/>
        <item t="data" sd="1" m="1" x="539"/>
        <item t="data" sd="1" m="1" x="646"/>
        <item t="data" sd="1" m="1" x="574"/>
        <item t="data" sd="1" m="1" x="676"/>
        <item t="data" sd="1" m="1" x="534"/>
        <item t="data" sd="1" m="1" x="528"/>
        <item t="data" sd="1" m="1" x="536"/>
        <item t="data" sd="1" m="1" x="678"/>
        <item t="data" sd="1" m="1" x="578"/>
        <item t="data" sd="1" m="1" x="552"/>
        <item t="data" sd="1" m="1" x="617"/>
        <item t="data" sd="1" m="1" x="533"/>
        <item t="data" sd="1" m="1" x="511"/>
        <item t="data" sd="1" m="1" x="538"/>
        <item t="data" sd="1" m="1" x="669"/>
        <item t="data" sd="1" m="1" x="520"/>
        <item t="data" sd="1" m="1" x="577"/>
        <item t="data" sd="1" m="1" x="560"/>
        <item t="data" sd="1" m="1" x="551"/>
        <item t="data" sd="1" m="1" x="521"/>
        <item t="data" sd="1" m="1" x="532"/>
        <item t="data" sd="1" m="1" x="628"/>
        <item t="data" sd="1" m="1" x="571"/>
        <item t="data" sd="1" m="1" x="516"/>
        <item t="data" sd="1" m="1" x="653"/>
        <item t="data" sd="1" m="1" x="576"/>
        <item t="data" sd="1" m="1" x="664"/>
        <item t="data" sd="1" m="1" x="625"/>
        <item t="data" sd="1" m="1" x="658"/>
        <item t="data" sd="1" m="1" x="575"/>
        <item t="data" sd="1" m="1" x="595"/>
        <item t="data" sd="1" m="1" x="555"/>
        <item t="data" sd="1" m="1" x="682"/>
        <item t="data" sd="1" m="1" x="683"/>
        <item t="data" sd="1" m="1" x="687"/>
        <item t="data" sd="1" m="1" x="597"/>
        <item t="data" sd="1" m="1" x="596"/>
        <item t="data" sd="1" m="1" x="667"/>
        <item t="data" sd="1" m="1" x="518"/>
        <item t="data" sd="1" m="1" x="672"/>
        <item t="data" sd="1" m="1" x="594"/>
        <item t="data" sd="1" m="1" x="543"/>
        <item t="data" sd="1" m="1" x="660"/>
        <item t="data" sd="1" m="1" x="567"/>
        <item t="data" sd="1" m="1" x="565"/>
        <item t="data" sd="1" m="1" x="668"/>
        <item t="data" sd="1" m="1" x="684"/>
        <item t="data" sd="1" m="1" x="525"/>
        <item t="data" sd="1" m="1" x="590"/>
        <item t="data" sd="1" m="1" x="557"/>
        <item t="data" sd="1" m="1" x="689"/>
        <item t="data" sd="1" m="1" x="513"/>
        <item t="data" sd="1" m="1" x="515"/>
        <item t="data" sd="1" m="1" x="522"/>
        <item t="data" sd="1" m="1" x="580"/>
        <item t="data" sd="1" m="1" x="607"/>
        <item t="data" sd="1" m="1" x="605"/>
        <item t="data" sd="1" m="1" x="599"/>
        <item t="data" sd="1" m="1" x="512"/>
        <item t="data" sd="1" m="1" x="537"/>
        <item t="data" sd="1" m="1" x="510"/>
        <item t="data" sd="1" m="1" x="527"/>
        <item t="data" sd="1" m="1" x="509"/>
        <item t="data" sd="1" m="1" x="529"/>
        <item t="data" sd="1" m="1" x="330"/>
        <item t="data" sd="1" m="1" x="395"/>
        <item t="data" sd="1" m="1" x="374"/>
        <item t="data" sd="1" m="1" x="393"/>
        <item t="data" sd="1" m="1" x="421"/>
        <item t="data" sd="1" m="1" x="479"/>
        <item t="data" sd="1" m="1" x="422"/>
        <item t="data" sd="1" m="1" x="472"/>
        <item t="data" sd="1" m="1" x="432"/>
        <item t="data" sd="1" m="1" x="370"/>
        <item t="data" sd="1" m="1" x="398"/>
        <item t="data" sd="1" m="1" x="355"/>
        <item t="data" sd="1" m="1" x="407"/>
        <item t="data" sd="1" m="1" x="408"/>
        <item t="data" sd="1" m="1" x="460"/>
        <item t="data" sd="1" m="1" x="337"/>
        <item t="data" sd="1" m="1" x="420"/>
        <item t="data" sd="1" m="1" x="426"/>
        <item t="data" sd="1" m="1" x="350"/>
        <item t="data" sd="1" m="1" x="441"/>
        <item t="data" sd="1" m="1" x="348"/>
        <item t="data" sd="1" m="1" x="349"/>
        <item t="data" sd="1" m="1" x="406"/>
        <item t="data" sd="1" m="1" x="466"/>
        <item t="data" sd="1" m="1" x="465"/>
        <item t="data" sd="1" m="1" x="437"/>
        <item t="data" sd="1" m="1" x="427"/>
        <item t="data" sd="1" m="1" x="462"/>
        <item t="data" sd="1" m="1" x="343"/>
        <item t="data" sd="1" m="1" x="379"/>
        <item t="data" sd="1" m="1" x="494"/>
        <item t="data" sd="1" m="1" x="325"/>
        <item t="data" sd="1" m="1" x="478"/>
        <item t="data" sd="1" m="1" x="405"/>
        <item t="data" sd="1" m="1" x="386"/>
        <item t="data" sd="1" m="1" x="402"/>
        <item t="data" sd="1" m="1" x="327"/>
        <item t="data" sd="1" m="1" x="326"/>
        <item t="data" sd="1" m="1" x="495"/>
        <item t="data" sd="1" m="1" x="383"/>
        <item t="data" sd="1" m="1" x="442"/>
        <item t="data" sd="1" m="1" x="430"/>
        <item t="data" sd="1" m="1" x="424"/>
        <item t="data" sd="1" m="1" x="423"/>
        <item t="data" sd="1" m="1" x="373"/>
        <item t="data" sd="1" m="1" x="328"/>
        <item t="data" sd="1" m="1" x="378"/>
        <item t="data" sd="1" m="1" x="365"/>
        <item t="data" sd="1" m="1" x="485"/>
        <item t="data" sd="1" m="1" x="452"/>
        <item t="data" sd="1" m="1" x="454"/>
        <item t="data" sd="1" m="1" x="453"/>
        <item t="data" sd="1" m="1" x="372"/>
        <item t="data" sd="1" m="1" x="443"/>
        <item t="data" sd="1" m="1" x="366"/>
        <item t="data" sd="1" m="1" x="377"/>
        <item t="data" sd="1" m="1" x="338"/>
        <item t="data" sd="1" m="1" x="456"/>
        <item t="data" sd="1" m="1" x="449"/>
        <item t="data" sd="1" m="1" x="445"/>
        <item t="data" sd="1" m="1" x="390"/>
        <item t="data" sd="1" m="1" x="376"/>
        <item t="data" sd="1" m="1" x="357"/>
        <item t="data" sd="1" m="1" x="411"/>
        <item t="data" sd="1" m="1" x="474"/>
        <item t="data" sd="1" m="1" x="446"/>
        <item t="data" sd="1" m="1" x="410"/>
        <item t="data" sd="1" m="1" x="333"/>
        <item t="data" sd="1" m="1" x="331"/>
        <item t="data" sd="1" m="1" x="367"/>
        <item t="data" sd="1" m="1" x="375"/>
        <item t="data" sd="1" m="1" x="444"/>
        <item t="data" sd="1" m="1" x="473"/>
        <item t="data" sd="1" m="1" x="470"/>
        <item t="data" sd="1" m="1" x="380"/>
        <item t="data" sd="1" m="1" x="332"/>
        <item t="data" sd="1" m="1" x="499"/>
        <item t="data" sd="1" m="1" x="458"/>
        <item t="data" sd="1" m="1" x="334"/>
        <item t="data" sd="1" m="1" x="391"/>
        <item t="data" sd="1" m="1" x="425"/>
        <item t="data" sd="1" m="1" x="447"/>
        <item t="data" sd="1" m="1" x="417"/>
        <item t="data" sd="1" m="1" x="471"/>
        <item t="data" sd="1" m="1" x="339"/>
        <item t="data" sd="1" m="1" x="461"/>
        <item t="data" sd="1" m="1" x="352"/>
        <item t="data" sd="1" m="1" x="400"/>
        <item t="data" sd="1" m="1" x="497"/>
        <item t="data" sd="1" m="1" x="368"/>
        <item t="data" sd="1" m="1" x="503"/>
        <item t="data" sd="1" m="1" x="412"/>
        <item t="data" sd="1" m="1" x="500"/>
        <item t="data" sd="1" m="1" x="496"/>
        <item t="data" sd="1" m="1" x="505"/>
        <item t="data" sd="1" m="1" x="404"/>
        <item t="data" sd="1" m="1" x="364"/>
        <item t="data" sd="1" m="1" x="358"/>
        <item t="data" sd="1" m="1" x="491"/>
        <item t="data" sd="1" m="1" x="354"/>
        <item t="data" sd="1" m="1" x="388"/>
        <item t="data" sd="1" m="1" x="433"/>
        <item t="data" sd="1" m="1" x="492"/>
        <item t="data" sd="1" m="1" x="396"/>
        <item t="data" sd="1" m="1" x="502"/>
        <item t="data" sd="1" m="1" x="508"/>
        <item t="data" sd="1" m="1" x="507"/>
        <item t="data" sd="1" m="1" x="419"/>
        <item t="data" sd="1" m="1" x="418"/>
        <item t="data" sd="1" m="1" x="457"/>
        <item t="data" sd="1" m="1" x="362"/>
        <item t="data" sd="1" m="1" x="359"/>
        <item t="data" sd="1" m="1" x="498"/>
        <item t="data" sd="1" m="1" x="482"/>
        <item t="data" sd="1" m="1" x="435"/>
        <item t="data" sd="1" m="1" x="438"/>
        <item t="data" sd="1" m="1" x="403"/>
        <item t="data" sd="1" m="1" x="385"/>
        <item t="data" sd="1" m="1" x="476"/>
        <item t="data" sd="1" m="1" x="381"/>
        <item t="data" sd="1" m="1" x="486"/>
        <item t="data" sd="1" m="1" x="468"/>
        <item t="data" sd="1" m="1" x="371"/>
        <item t="data" sd="1" m="1" x="335"/>
        <item t="data" sd="1" m="1" x="392"/>
        <item t="data" sd="1" m="1" x="459"/>
        <item t="data" sd="1" m="1" x="387"/>
        <item t="data" sd="1" m="1" x="450"/>
        <item t="data" sd="1" m="1" x="464"/>
        <item t="data" sd="1" m="1" x="369"/>
        <item t="data" sd="1" m="1" x="344"/>
        <item t="data" sd="1" m="1" x="397"/>
        <item t="data" sd="1" m="1" x="434"/>
        <item t="data" sd="1" m="1" x="484"/>
        <item t="data" sd="1" m="1" x="416"/>
        <item t="data" sd="1" m="1" x="504"/>
        <item t="data" sd="1" m="1" x="345"/>
        <item t="data" sd="1" m="1" x="481"/>
        <item t="data" sd="1" m="1" x="340"/>
        <item t="data" sd="1" m="1" x="501"/>
        <item t="data" sd="1" m="1" x="346"/>
        <item t="data" sd="1" m="1" x="413"/>
        <item t="data" sd="1" m="1" x="490"/>
        <item t="data" sd="1" m="1" x="414"/>
        <item t="data" sd="1" m="1" x="347"/>
        <item t="data" sd="1" m="1" x="341"/>
        <item t="data" sd="1" m="1" x="436"/>
        <item t="data" sd="1" m="1" x="342"/>
        <item t="data" sd="1" m="1" x="451"/>
        <item t="data" sd="1" m="1" x="467"/>
        <item t="data" sd="1" m="1" x="469"/>
        <item t="data" sd="1" m="1" x="389"/>
        <item t="data" sd="1" m="1" x="415"/>
        <item t="data" sd="1" m="1" x="475"/>
        <item t="data" sd="1" m="1" x="401"/>
        <item t="data" sd="1" m="1" x="382"/>
        <item t="data" sd="1" m="1" x="353"/>
        <item t="data" sd="1" m="1" x="429"/>
        <item t="data" sd="1" m="1" x="477"/>
        <item t="data" sd="1" m="1" x="487"/>
        <item t="data" sd="1" m="1" x="329"/>
        <item t="data" sd="1" m="1" x="336"/>
        <item t="data" sd="1" m="1" x="541"/>
        <item t="data" sd="1" m="1" x="545"/>
        <item t="data" sd="1" m="1" x="351"/>
        <item t="data" sd="1" m="1" x="561"/>
        <item t="data" sd="1" m="1" x="562"/>
        <item t="data" sd="1" m="1" x="563"/>
        <item t="data" sd="1" m="1" x="564"/>
        <item t="data" sd="1" m="1" x="361"/>
        <item t="data" sd="1" m="1" x="514"/>
        <item t="data" sd="1" m="1" x="363"/>
        <item t="data" sd="1" m="1" x="517"/>
        <item t="data" sd="1" m="1" x="384"/>
        <item t="data" sd="1" m="1" x="519"/>
        <item t="data" sd="1" m="1" x="581"/>
        <item t="data" sd="1" m="1" x="394"/>
        <item t="data" sd="1" m="1" x="399"/>
        <item t="data" sd="1" m="1" x="523"/>
        <item t="data" sd="1" m="1" x="524"/>
        <item t="data" sd="1" m="1" x="409"/>
        <item t="data" sd="1" m="1" x="598"/>
        <item t="data" sd="1" m="1" x="530"/>
        <item t="data" sd="1" m="1" x="428"/>
        <item t="data" sd="1" m="1" x="439"/>
        <item t="data" sd="1" m="1" x="440"/>
        <item t="data" sd="1" m="1" x="651"/>
        <item t="data" sd="1" m="1" x="652"/>
        <item t="data" sd="1" m="1" x="656"/>
        <item t="data" sd="1" m="1" x="463"/>
        <item t="data" sd="1" m="1" x="665"/>
        <item t="data" sd="1" m="1" x="666"/>
        <item t="data" sd="1" m="1" x="480"/>
        <item t="data" sd="1" m="1" x="483"/>
        <item t="data" sd="1" m="1" x="677"/>
        <item t="data" sd="1" m="1" x="493"/>
        <item t="data" sd="1" m="1" x="685"/>
        <item t="data" sd="1" m="1" x="488"/>
        <item t="data" sd="1" m="1" x="455"/>
        <item t="data" sd="1" m="1" x="688"/>
        <item t="data" sd="1" m="1" x="506"/>
        <item t="data" sd="1" m="1" x="489"/>
        <item t="data" sd="1" m="1" x="448"/>
        <item t="data" sd="1" m="1" x="431"/>
        <item t="data" sd="1" m="1" x="356"/>
        <item t="data" sd="1" m="1" x="360"/>
        <item t="data" sd="1" x="111"/>
        <item t="data" sd="1" x="98"/>
        <item t="data" sd="1" x="165"/>
        <item t="data" sd="1" x="11"/>
        <item t="data" sd="1" x="95"/>
        <item t="data" sd="1" x="146"/>
        <item t="data" sd="1" x="130"/>
        <item t="data" sd="1" x="186"/>
        <item t="data" sd="1" m="1" x="301"/>
        <item t="data" sd="1" x="275"/>
        <item t="data" sd="1" x="73"/>
        <item t="data" sd="1" x="29"/>
        <item t="data" sd="1" x="36"/>
        <item t="data" sd="1" x="96"/>
        <item t="data" sd="1" x="155"/>
        <item t="data" sd="1" x="87"/>
        <item t="data" sd="1" x="86"/>
        <item t="data" sd="1" x="247"/>
        <item t="data" sd="1" x="76"/>
        <item t="data" sd="1" x="276"/>
        <item t="data" sd="1" x="112"/>
        <item t="data" sd="1" x="16"/>
        <item t="data" sd="1" x="201"/>
        <item t="data" sd="1" x="84"/>
        <item t="data" sd="1" x="169"/>
        <item t="data" sd="1" x="236"/>
        <item t="data" sd="1" x="44"/>
        <item t="data" sd="1" m="1" x="314"/>
        <item t="data" sd="1" x="43"/>
        <item t="data" sd="1" x="161"/>
        <item t="data" sd="1" x="5"/>
        <item t="data" sd="1" x="153"/>
        <item t="data" sd="1" x="49"/>
        <item t="data" sd="1" x="241"/>
        <item t="data" sd="1" x="25"/>
        <item t="data" sd="1" x="268"/>
        <item t="data" sd="1" x="151"/>
        <item t="data" sd="1" x="26"/>
        <item t="data" sd="1" x="138"/>
        <item t="data" sd="1" x="143"/>
        <item t="data" sd="1" x="269"/>
        <item t="data" sd="1" x="92"/>
        <item t="data" sd="1" x="57"/>
        <item t="data" sd="1" x="202"/>
        <item t="data" sd="1" x="187"/>
        <item t="data" sd="1" x="246"/>
        <item t="data" sd="1" x="190"/>
        <item t="data" sd="1" x="42"/>
        <item t="data" sd="1" x="32"/>
        <item t="data" sd="1" x="85"/>
        <item t="data" sd="1" x="15"/>
        <item t="data" sd="1" x="99"/>
        <item t="data" sd="1" x="121"/>
        <item t="data" sd="1" x="58"/>
        <item t="data" sd="1" x="233"/>
        <item t="data" sd="1" x="27"/>
        <item t="data" sd="1" m="1" x="295"/>
        <item t="data" sd="1" x="205"/>
        <item t="data" sd="1" x="97"/>
        <item t="data" sd="1" x="195"/>
        <item t="data" sd="1" x="122"/>
        <item t="data" sd="1" x="271"/>
        <item t="data" sd="1" x="263"/>
        <item t="data" sd="1" x="182"/>
        <item t="data" sd="1" x="70"/>
        <item t="data" sd="1" m="1" x="298"/>
        <item t="data" sd="1" x="120"/>
        <item t="data" sd="1" x="158"/>
        <item t="data" sd="1" x="238"/>
        <item t="data" sd="1" x="242"/>
        <item t="data" sd="1" x="102"/>
        <item t="data" sd="1" x="88"/>
        <item t="data" sd="1" x="106"/>
        <item t="data" sd="1" x="232"/>
        <item t="data" sd="1" x="69"/>
        <item t="data" sd="1" x="33"/>
        <item t="data" sd="1" x="72"/>
        <item t="data" sd="1" x="45"/>
        <item t="data" sd="1" x="100"/>
        <item t="data" sd="1" x="278"/>
        <item t="data" sd="1" x="245"/>
        <item t="data" sd="1" x="162"/>
        <item t="data" sd="1" x="28"/>
        <item t="data" sd="1" x="194"/>
        <item t="data" sd="1" x="248"/>
        <item t="data" sd="1" x="139"/>
        <item t="data" sd="1" x="77"/>
        <item t="data" sd="1" x="228"/>
        <item t="data" sd="1" x="282"/>
        <item t="data" sd="1" x="103"/>
        <item t="data" sd="1" x="4"/>
        <item t="data" sd="1" x="198"/>
        <item t="data" sd="1" x="46"/>
        <item t="data" sd="1" x="191"/>
        <item t="data" sd="1" x="160"/>
        <item t="data" sd="1" x="279"/>
        <item t="data" sd="1" x="78"/>
        <item t="data" sd="1" x="249"/>
        <item t="data" sd="1" x="207"/>
        <item t="data" sd="1" x="173"/>
        <item t="data" sd="1" x="80"/>
        <item t="data" sd="1" x="225"/>
        <item t="data" sd="1" x="180"/>
        <item t="data" sd="1" x="59"/>
        <item t="data" sd="1" x="101"/>
        <item t="data" sd="1" x="203"/>
        <item t="data" sd="1" x="48"/>
        <item t="data" sd="1" x="189"/>
        <item t="data" sd="1" x="12"/>
        <item t="data" sd="1" x="108"/>
        <item t="data" sd="1" x="124"/>
        <item t="data" sd="1" x="204"/>
        <item t="data" sd="1" x="176"/>
        <item t="data" sd="1" x="277"/>
        <item t="data" sd="1" x="2"/>
        <item t="data" sd="1" x="206"/>
        <item t="data" sd="1" x="47"/>
        <item t="data" sd="1" x="141"/>
        <item t="data" sd="1" x="123"/>
        <item t="data" sd="1" x="147"/>
        <item t="data" sd="1" x="154"/>
        <item t="data" sd="1" x="174"/>
        <item t="data" sd="1" x="163"/>
        <item t="data" sd="1" x="89"/>
        <item t="data" sd="1" x="227"/>
        <item t="data" sd="1" x="265"/>
        <item t="data" sd="1" x="183"/>
        <item t="data" sd="1" x="257"/>
        <item t="data" sd="1" x="234"/>
        <item t="data" sd="1" x="107"/>
        <item t="data" sd="1" x="226"/>
        <item t="data" sd="1" x="131"/>
        <item t="data" sd="1" x="197"/>
        <item t="data" sd="1" x="156"/>
        <item t="data" sd="1" x="199"/>
        <item t="data" sd="1" x="152"/>
        <item t="data" sd="1" x="109"/>
        <item t="data" sd="1" x="115"/>
        <item t="data" sd="1" x="125"/>
        <item t="data" sd="1" x="81"/>
        <item t="data" sd="1" x="24"/>
        <item t="data" sd="1" x="175"/>
        <item t="data" sd="1" x="252"/>
        <item t="data" sd="1" x="64"/>
        <item t="data" sd="1" x="113"/>
        <item t="data" sd="1" x="79"/>
        <item t="data" sd="1" x="62"/>
        <item t="data" sd="1" x="243"/>
        <item t="data" sd="1" m="1" x="300"/>
        <item t="data" sd="1" x="65"/>
        <item t="data" sd="1" x="114"/>
        <item t="data" sd="1" x="144"/>
        <item t="data" sd="1" x="34"/>
        <item t="data" sd="1" x="229"/>
        <item t="data" sd="1" x="39"/>
        <item t="data" sd="1" m="1" x="304"/>
        <item t="data" sd="1" m="1" x="321"/>
        <item t="data" sd="1" x="200"/>
        <item t="data" sd="1" x="157"/>
        <item t="data" sd="1" x="193"/>
        <item t="data" sd="1" m="1" x="294"/>
        <item t="data" sd="1" m="1" x="297"/>
        <item t="data" sd="1" x="280"/>
        <item t="data" sd="1" x="17"/>
        <item t="data" sd="1" x="208"/>
        <item t="data" sd="1" x="171"/>
        <item t="data" sd="1" x="63"/>
        <item t="data" sd="1" x="126"/>
        <item t="data" sd="1" x="35"/>
        <item t="data" sd="1" x="83"/>
        <item t="data" sd="1" x="209"/>
        <item t="data" sd="1" x="74"/>
        <item t="data" sd="1" x="185"/>
        <item t="data" sd="1" x="184"/>
        <item t="data" sd="1" x="68"/>
        <item t="data" sd="1" x="170"/>
        <item t="data" sd="1" x="145"/>
        <item t="data" sd="1" x="270"/>
        <item t="data" sd="1" x="240"/>
        <item t="data" sd="1" x="211"/>
        <item t="data" sd="1" x="281"/>
        <item t="data" sd="1" x="116"/>
        <item t="data" sd="1" x="94"/>
        <item t="data" sd="1" x="273"/>
        <item t="data" sd="1" x="93"/>
        <item t="data" sd="1" x="117"/>
        <item t="data" sd="1" x="22"/>
        <item t="data" sd="1" m="1" x="296"/>
        <item t="data" sd="1" x="133"/>
        <item t="data" sd="1" x="136"/>
        <item t="data" sd="1" x="235"/>
        <item t="data" sd="1" x="134"/>
        <item t="data" sd="1" x="104"/>
        <item t="data" sd="1" x="128"/>
        <item t="data" sd="1" x="66"/>
        <item t="data" sd="1" x="82"/>
        <item t="data" sd="1" x="177"/>
        <item t="data" sd="1" x="91"/>
        <item t="data" sd="1" x="178"/>
        <item t="data" sd="1" x="259"/>
        <item t="data" sd="1" x="140"/>
        <item t="data" sd="1" x="255"/>
        <item t="data" sd="1" x="71"/>
        <item t="data" sd="1" x="14"/>
        <item t="data" sd="1" x="6"/>
        <item t="data" sd="1" x="149"/>
        <item t="data" sd="1" x="179"/>
        <item t="data" sd="1" m="1" x="299"/>
        <item t="data" sd="1" x="18"/>
        <item t="data" sd="1" x="60"/>
        <item t="data" sd="1" x="237"/>
        <item t="data" sd="1" x="40"/>
        <item t="data" sd="1" x="30"/>
        <item t="data" sd="1" x="1"/>
        <item t="data" sd="1" x="61"/>
        <item t="data" sd="1" x="105"/>
        <item t="data" sd="1" x="67"/>
        <item t="data" sd="1" x="110"/>
        <item t="data" sd="1" x="159"/>
        <item t="data" sd="1" x="38"/>
        <item t="data" sd="1" x="210"/>
        <item t="data" sd="1" x="135"/>
        <item t="data" sd="1" x="127"/>
        <item t="data" sd="1" m="1" x="302"/>
        <item t="data" sd="1" x="274"/>
        <item t="data" sd="1" x="254"/>
        <item t="data" sd="1" x="9"/>
        <item t="data" sd="1" x="90"/>
        <item t="data" sd="1" x="142"/>
        <item t="data" sd="1" x="239"/>
        <item t="data" sd="1" x="0"/>
        <item t="data" sd="1" x="230"/>
        <item t="data" sd="1" m="1" x="303"/>
        <item t="data" sd="1" x="8"/>
        <item t="data" sd="1" x="13"/>
        <item t="data" sd="1" x="132"/>
        <item t="data" sd="1" x="212"/>
        <item t="data" sd="1" x="75"/>
        <item t="data" sd="1" x="7"/>
        <item t="data" sd="1" m="1" x="305"/>
        <item t="data" sd="1" x="251"/>
        <item t="data" sd="1" x="118"/>
        <item t="data" sd="1" x="23"/>
        <item t="data" sd="1" x="51"/>
        <item t="data" sd="1" m="1" x="306"/>
        <item t="data" sd="1" m="1" x="307"/>
        <item t="data" sd="1" x="188"/>
        <item t="data" sd="1" x="164"/>
        <item t="data" sd="1" x="53"/>
        <item t="data" sd="1" x="287"/>
        <item t="data" sd="1" x="31"/>
        <item t="data" sd="1" x="196"/>
        <item t="data" sd="1" x="37"/>
        <item t="data" sd="1" x="19"/>
        <item t="data" sd="1" m="1" x="308"/>
        <item t="data" sd="1" x="172"/>
        <item t="data" sd="1" x="256"/>
        <item t="data" sd="1" x="288"/>
        <item t="data" sd="1" x="166"/>
        <item t="data" sd="1" x="3"/>
        <item t="data" sd="1" x="272"/>
        <item t="data" sd="1" m="1" x="309"/>
        <item t="data" sd="1" x="231"/>
        <item t="data" sd="1" x="150"/>
        <item t="data" sd="1" x="291"/>
        <item t="data" sd="1" m="1" x="310"/>
        <item t="data" sd="1" x="192"/>
        <item t="data" sd="1" x="137"/>
        <item t="data" sd="1" m="1" x="313"/>
        <item t="data" sd="1" x="213"/>
        <item t="data" sd="1" x="50"/>
        <item t="data" sd="1" x="119"/>
        <item t="data" sd="1" x="41"/>
        <item t="data" sd="1" x="56"/>
        <item t="data" sd="1" x="55"/>
        <item t="data" sd="1" m="1" x="315"/>
        <item t="data" sd="1" x="129"/>
        <item t="data" sd="1" m="1" x="316"/>
        <item t="data" sd="1" m="1" x="317"/>
        <item t="data" sd="1" x="148"/>
        <item t="data" sd="1" x="244"/>
        <item t="data" sd="1" x="217"/>
        <item t="data" sd="1" x="21"/>
        <item t="data" sd="1" m="1" x="318"/>
        <item t="data" sd="1" x="220"/>
        <item t="data" sd="1" x="20"/>
        <item t="data" sd="1" m="1" x="319"/>
        <item t="data" sd="1" x="284"/>
        <item t="data" sd="1" m="1" x="320"/>
        <item t="data" sd="1" x="286"/>
        <item t="data" sd="1" x="215"/>
        <item t="data" sd="1" m="1" x="322"/>
        <item t="data" sd="1" x="262"/>
        <item t="data" sd="1" x="253"/>
        <item t="data" sd="1" m="1" x="323"/>
        <item t="data" sd="1" x="219"/>
        <item t="data" sd="1" m="1" x="324"/>
        <item t="data" sd="1" x="285"/>
        <item t="data" sd="1" x="218"/>
        <item t="data" sd="1" m="1" x="293"/>
        <item t="data" sd="1" x="10"/>
        <item t="data" sd="1" x="264"/>
        <item t="data" sd="1" x="52"/>
        <item t="data" sd="1" x="283"/>
        <item t="data" sd="1" x="214"/>
        <item t="data" sd="1" m="1" x="311"/>
        <item t="data" sd="1" x="216"/>
        <item t="data" sd="1" m="1" x="312"/>
        <item t="data" sd="1" x="261"/>
        <item t="data" sd="1" x="266"/>
        <item t="data" sd="1" x="54"/>
        <item t="data" sd="1" x="167"/>
        <item t="data" sd="1" x="168"/>
        <item t="data" sd="1" x="181"/>
        <item t="data" sd="1" x="221"/>
        <item t="data" sd="1" x="222"/>
        <item t="data" sd="1" x="223"/>
        <item t="data" sd="1" x="224"/>
        <item t="data" sd="1" x="250"/>
        <item t="data" sd="1" x="258"/>
        <item t="data" sd="1" x="260"/>
        <item t="data" sd="1" x="267"/>
        <item t="data" sd="1" x="289"/>
        <item t="data" sd="1" x="290"/>
        <item t="data" sd="1" x="29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0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15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7">
        <item t="data" sd="0" x="1"/>
        <item t="data" sd="0" x="2"/>
        <item t="data" sd="0" x="3"/>
        <item t="data" sd="0" x="4"/>
        <item t="data" sd="1" x="0"/>
        <item t="data" sd="1" x="5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0">
      <items count="3">
        <item t="data" sd="1" x="1"/>
        <item t="data" sd="1" x="0"/>
        <item t="data" sd="1" x="2"/>
      </items>
    </pivotField>
  </pivotFields>
  <rowFields count="2">
    <field x="28"/>
    <field x="26"/>
  </rowFields>
  <rowItems count="9">
    <i t="data" r="0" i="0">
      <x v="0"/>
      <x v="0"/>
    </i>
    <i t="data" r="1" i="0">
      <x v="1"/>
    </i>
    <i t="data" r="1" i="0">
      <x v="2"/>
    </i>
    <i t="default" r="0" i="0">
      <x v="0"/>
    </i>
    <i t="data" r="0" i="0">
      <x v="1"/>
      <x v="0"/>
    </i>
    <i t="data" r="1" i="0">
      <x v="1"/>
    </i>
    <i t="data" r="1" i="0">
      <x v="2"/>
    </i>
    <i t="default" r="0" i="0">
      <x v="1"/>
    </i>
    <i t="grand" r="0" i="0">
      <x v="0"/>
    </i>
  </rowItems>
  <colFields count="2">
    <field x="32"/>
    <field x="30"/>
  </colFields>
  <colItems count="13">
    <i t="data" r="0" i="0">
      <x v="0"/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grand" r="0" i="0">
      <x v="0"/>
    </i>
  </colItems>
  <pageFields count="1">
    <pageField fld="9" hier="-1"/>
  </pageFields>
  <dataFields count="1">
    <dataField name="Sum of No. of PO Schd Line" fld="21" subtotal="sum" showDataAs="normal" baseField="0" baseItem="0"/>
  </dataFields>
  <formats count="28">
    <format action="formatting" dxfId="127">
      <pivotArea type="all" dataOnly="0" outline="0" fieldPosition="0"/>
    </format>
    <format action="formatting" dxfId="126">
      <pivotArea type="normal" dataOnly="1" outline="0" collapsedLevelsAreSubtotals="1" fieldPosition="0"/>
    </format>
    <format action="formatting" dxfId="125">
      <pivotArea field="17" type="button" dataOnly="0" labelOnly="1" outline="0"/>
    </format>
    <format action="formatting" dxfId="124">
      <pivotArea type="normal" dataOnly="0" labelOnly="1" grandRow="1" outline="0" fieldPosition="0"/>
    </format>
    <format action="formatting" dxfId="123">
      <pivotArea field="1" type="button" dataOnly="0" labelOnly="1" outline="0"/>
    </format>
    <format action="formatting" dxfId="122">
      <pivotArea type="origin" dataOnly="0" labelOnly="1" outline="0" fieldPosition="0"/>
    </format>
    <format action="formatting" dxfId="121">
      <pivotArea field="1" type="button" dataOnly="0" labelOnly="1" outline="0"/>
    </format>
    <format action="formatting" dxfId="120">
      <pivotArea field="32" type="button" dataOnly="0" labelOnly="1" outline="0" axis="axisCol" fieldPosition="0"/>
    </format>
    <format action="formatting" dxfId="119">
      <pivotArea type="normal" dataOnly="1" outline="0" collapsedLevelsAreSubtotals="1" fieldPosition="0"/>
    </format>
    <format action="formatting" dxfId="118">
      <pivotArea type="normal" dataOnly="0" labelOnly="1" grandRow="1" outline="0" fieldPosition="0"/>
    </format>
    <format action="formatting" dxfId="117">
      <pivotArea type="normal" dataOnly="0" labelOnly="1" outline="0" fieldPosition="0">
        <references count="1">
          <reference field="9"/>
        </references>
      </pivotArea>
    </format>
    <format action="formatting" dxfId="116">
      <pivotArea field="9" type="button" dataOnly="0" labelOnly="1" outline="0" axis="axisPage" fieldPosition="0"/>
    </format>
    <format action="formatting" dxfId="115">
      <pivotArea type="all" dataOnly="0" outline="0" fieldPosition="0"/>
    </format>
    <format action="formatting" dxfId="114">
      <pivotArea type="normal" dataOnly="1" outline="0" collapsedLevelsAreSubtotals="1" fieldPosition="0"/>
    </format>
    <format action="formatting" dxfId="113">
      <pivotArea type="origin" dataOnly="0" labelOnly="1" outline="0" fieldPosition="0"/>
    </format>
    <format action="formatting" dxfId="112">
      <pivotArea field="32" type="button" dataOnly="0" labelOnly="1" outline="0" axis="axisCol" fieldPosition="0"/>
    </format>
    <format action="formatting" dxfId="111">
      <pivotArea field="30" type="button" dataOnly="0" labelOnly="1" outline="0" axis="axisCol" fieldPosition="1"/>
    </format>
    <format action="formatting" dxfId="110">
      <pivotArea type="topRight" dataOnly="0" labelOnly="1" outline="0" fieldPosition="0"/>
    </format>
    <format action="formatting" dxfId="109">
      <pivotArea field="28" type="button" dataOnly="0" labelOnly="1" outline="0" axis="axisRow" fieldPosition="0"/>
    </format>
    <format action="formatting" dxfId="108">
      <pivotArea field="26" type="button" dataOnly="0" labelOnly="1" outline="0" axis="axisRow" fieldPosition="1"/>
    </format>
    <format action="formatting" dxfId="107">
      <pivotArea type="normal" dataOnly="0" labelOnly="1" outline="1" fieldPosition="0">
        <references count="1">
          <reference field="28"/>
        </references>
      </pivotArea>
    </format>
    <format action="formatting" dxfId="106">
      <pivotArea type="normal" dataOnly="0" labelOnly="1" outline="1" fieldPosition="0">
        <references count="1">
          <reference field="28" defaultSubtotal="1"/>
        </references>
      </pivotArea>
    </format>
    <format action="formatting" dxfId="105">
      <pivotArea type="normal" dataOnly="0" labelOnly="1" grandRow="1" outline="0" fieldPosition="0"/>
    </format>
    <format action="formatting" dxfId="104">
      <pivotArea type="normal" dataOnly="0" labelOnly="1" outline="1" fieldPosition="0">
        <references count="2">
          <reference field="26"/>
          <reference field="28" selected="0">
            <x v="0"/>
          </reference>
        </references>
      </pivotArea>
    </format>
    <format action="formatting" dxfId="103">
      <pivotArea type="normal" dataOnly="0" labelOnly="1" outline="1" fieldPosition="0">
        <references count="2">
          <reference field="26"/>
          <reference field="28" selected="0">
            <x v="1"/>
          </reference>
        </references>
      </pivotArea>
    </format>
    <format action="formatting" dxfId="102">
      <pivotArea type="normal" dataOnly="0" labelOnly="1" outline="1" fieldPosition="0">
        <references count="1">
          <reference field="32">
            <x v="0"/>
          </reference>
        </references>
      </pivotArea>
    </format>
    <format action="formatting" dxfId="101">
      <pivotArea type="normal" dataOnly="0" labelOnly="1" grandCol="1" outline="0" fieldPosition="0"/>
    </format>
    <format action="formatting" dxfId="100">
      <pivotArea type="normal" dataOnly="0" labelOnly="1" outline="1" fieldPosition="0">
        <references count="2">
          <reference field="3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32" selected="0">
            <x v="0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3" displayName="Table13" ref="A1:AH23" headerRowCount="1" totalsRowShown="0" headerRowDxfId="166" dataDxfId="164" headerRowBorderDxfId="165" tableBorderDxfId="163" totalsRowBorderDxfId="162">
  <autoFilter ref="A1:AH23"/>
  <sortState ref="A2:AH23">
    <sortCondition ref="R1:R23"/>
  </sortState>
  <tableColumns count="34">
    <tableColumn id="1" name="Region" dataDxfId="161"/>
    <tableColumn id="2" name="Asset" dataDxfId="160"/>
    <tableColumn id="3" name="Purch. Org. - Text" dataDxfId="159"/>
    <tableColumn id="4" name="Vendor(VN) - Key" dataDxfId="158"/>
    <tableColumn id="5" name="Vendor(VN) - Text" dataDxfId="157"/>
    <tableColumn id="6" name="IncoTerms - Key" dataDxfId="156"/>
    <tableColumn id="7" name="Inco term: Additional Information - Text" dataDxfId="155"/>
    <tableColumn id="8" name="Purchase Document Item No. - Key" dataDxfId="154"/>
    <tableColumn id="9" name="Purch. Group - Key" dataDxfId="153"/>
    <tableColumn id="10" name="Contract (Outline Agreement) No - Key" dataDxfId="152"/>
    <tableColumn id="11" name="Material - Key" dataDxfId="151"/>
    <tableColumn id="12" name="Material - Text" dataDxfId="150"/>
    <tableColumn id="13" name="Purchase Document Number - Key" dataDxfId="149"/>
    <tableColumn id="28" name="PO Item Quantity Order UOM" dataDxfId="148"/>
    <tableColumn id="29" name="Purch. Item Category - Text" dataDxfId="147"/>
    <tableColumn id="14" name="Indicator : Delivery Completion - Key" dataDxfId="146"/>
    <tableColumn id="15" name="PO Document Date - Key" dataDxfId="145"/>
    <tableColumn id="16" name="Date : Calculated Delivery - Key" dataDxfId="144"/>
    <tableColumn id="17" name="Date: First GR Posting - Key" dataDxfId="143"/>
    <tableColumn id="18" name="Date: PO Statistical Delv - Key" dataDxfId="142"/>
    <tableColumn id="19" name="Date : PO Change - Key" dataDxfId="141"/>
    <tableColumn id="20" name="No. of PO Schd Line" dataDxfId="140"/>
    <tableColumn id="21" name="Count of DIFOT" dataDxfId="139"/>
    <tableColumn id="22" name="DIFOT%" dataDxfId="138"/>
    <tableColumn id="23" name="SEMANA" dataDxfId="137"/>
    <tableColumn id="24" name="MES" dataDxfId="136"/>
    <tableColumn id="25" name="DELIVERY" dataDxfId="135"/>
    <tableColumn id="26" name="DEADLINE" dataDxfId="134"/>
    <tableColumn id="27" name="PERFORMANCE" dataDxfId="133"/>
    <tableColumn id="30" name="AÑO" dataDxfId="132"/>
    <tableColumn id="34" name="Cumple con entrega _x000a_(SI o NO)" dataDxfId="131"/>
    <tableColumn id="35" name="Causa raiz en caso de fallo _x000a_(seleccionar lo que aplica)" dataDxfId="130"/>
    <tableColumn id="32" name="Comentarios" dataDxfId="129"/>
    <tableColumn id="33" name="Nueva fecha de entrega_x000a_(dd/mm/yyyy)" dataDxfId="128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A1:AD1150" headerRowCount="1" totalsRowShown="0" headerRowDxfId="99" dataDxfId="97" headerRowBorderDxfId="98" tableBorderDxfId="96" totalsRowBorderDxfId="95">
  <autoFilter ref="A1:AD1150"/>
  <tableColumns count="30">
    <tableColumn id="1" name="Region" dataDxfId="94"/>
    <tableColumn id="2" name="Asset" dataDxfId="93"/>
    <tableColumn id="3" name="Purch. Org. - Text" dataDxfId="92"/>
    <tableColumn id="4" name="Vendor(VN) - Key" dataDxfId="91"/>
    <tableColumn id="5" name="Vendor(VN) - Text" dataDxfId="90"/>
    <tableColumn id="6" name="IncoTerms - Key" dataDxfId="89"/>
    <tableColumn id="7" name="Inco term: Additional Information - Text" dataDxfId="88"/>
    <tableColumn id="8" name="Purchase Document Item No. - Key" dataDxfId="87"/>
    <tableColumn id="9" name="Purch. Group - Key" dataDxfId="86"/>
    <tableColumn id="10" name="Contract (Outline Agreement) No - Key" dataDxfId="85"/>
    <tableColumn id="11" name="Material - Key" dataDxfId="84"/>
    <tableColumn id="12" name="Material - Text" dataDxfId="83"/>
    <tableColumn id="13" name="Purchase Document Number - Key" dataDxfId="82"/>
    <tableColumn id="28" name="PO Item Quantity Order UOM" dataDxfId="81"/>
    <tableColumn id="29" name="Purch. Item Category - Text" dataDxfId="80"/>
    <tableColumn id="14" name="Indicator : Delivery Completion - Key" dataDxfId="79"/>
    <tableColumn id="15" name="PO Document Date - Key" dataDxfId="78"/>
    <tableColumn id="16" name="Date : Calculated Delivery - Key" dataDxfId="77"/>
    <tableColumn id="17" name="Date: First GR Posting - Key" dataDxfId="76"/>
    <tableColumn id="18" name="Date: PO Statistical Delv - Key" dataDxfId="75"/>
    <tableColumn id="19" name="Date : PO Change - Key" dataDxfId="74"/>
    <tableColumn id="20" name="No. of PO Schd Line" dataDxfId="73"/>
    <tableColumn id="21" name="Count of DIFOT" dataDxfId="72"/>
    <tableColumn id="22" name="DIFOT%" dataDxfId="71"/>
    <tableColumn id="23" name="SEMANA" dataDxfId="70">
      <calculatedColumnFormula>"SEM "&amp;WEEKNUM(R2)</calculatedColumnFormula>
    </tableColumn>
    <tableColumn id="24" name="MES" dataDxfId="69">
      <calculatedColumnFormula>TEXT(R2,"MMM-YYYY")</calculatedColumnFormula>
    </tableColumn>
    <tableColumn id="25" name="DELIVERY" dataDxfId="68">
      <calculatedColumnFormula>IF(AND(S2&lt;&gt;"#",P2="X"),"COMPLETA",IF(AND(S2&lt;&gt;"#",P2&lt;&gt;"X"),"PARCIAL","PENDIENTE"))</calculatedColumnFormula>
    </tableColumn>
    <tableColumn id="26" name="DEADLINE" dataDxfId="67">
      <calculatedColumnFormula>IF(OR(AA2="PENDIENTE",AA2="PARCIAL"),R2-TODAY(),R2-S2)</calculatedColumnFormula>
    </tableColumn>
    <tableColumn id="27" name="PERFORMANCE" dataDxfId="66">
      <calculatedColumnFormula>IF(AB2&lt;0,"NOK","OK")</calculatedColumnFormula>
    </tableColumn>
    <tableColumn id="30" name="AÑO" dataDxfId="65">
      <calculatedColumnFormula>TEXT(R2,"YYYY")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pivotTable" Target="/xl/pivotTables/pivotTable1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pivotTable" Target="/xl/pivotTables/pivotTable2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topLeftCell="I3" workbookViewId="0">
      <selection activeCell="E2" sqref="E2"/>
    </sheetView>
  </sheetViews>
  <sheetFormatPr baseColWidth="8" defaultColWidth="9.1796875" defaultRowHeight="12.5"/>
  <cols>
    <col width="9.81640625" customWidth="1" min="1" max="1"/>
    <col width="8.26953125" customWidth="1" min="2" max="2"/>
    <col hidden="1" outlineLevel="1" width="12.1796875" customWidth="1" min="3" max="3"/>
    <col hidden="1" outlineLevel="1" width="17.1796875" customWidth="1" min="4" max="4"/>
    <col collapsed="1" width="10.453125" customWidth="1" min="5" max="5"/>
    <col outlineLevel="1" width="16.453125" customWidth="1" min="6" max="6"/>
    <col outlineLevel="1" width="36" customWidth="1" min="7" max="7"/>
    <col outlineLevel="1" width="32.453125" customWidth="1" min="8" max="8"/>
    <col outlineLevel="1" width="18.81640625" customWidth="1" min="9" max="9"/>
    <col width="10.54296875" customWidth="1" min="10" max="10"/>
    <col width="8.54296875" customWidth="1" min="11" max="11"/>
    <col width="23.54296875" customWidth="1" min="12" max="12"/>
    <col width="10.54296875" customWidth="1" min="13" max="13"/>
    <col width="4.54296875" customWidth="1" min="14" max="14"/>
    <col hidden="1" outlineLevel="1" width="32" customWidth="1" min="15" max="15"/>
    <col hidden="1" outlineLevel="1" width="33.81640625" customWidth="1" min="16" max="16"/>
    <col collapsed="1" width="9.26953125" customWidth="1" style="17" min="17" max="17"/>
    <col width="9.26953125" customWidth="1" style="17" min="18" max="18"/>
    <col hidden="1" outlineLevel="1" width="9.26953125" customWidth="1" style="17" min="19" max="19"/>
    <col collapsed="1" width="9.26953125" customWidth="1" style="17" min="20" max="20"/>
    <col width="9.26953125" customWidth="1" style="17" min="21" max="21"/>
    <col hidden="1" outlineLevel="1" width="19.54296875" customWidth="1" min="22" max="22"/>
    <col hidden="1" outlineLevel="1" width="15.54296875" customWidth="1" min="23" max="23"/>
    <col hidden="1" outlineLevel="1" width="13" customWidth="1" min="24" max="24"/>
    <col collapsed="1" width="7.7265625" customWidth="1" style="17" min="25" max="25"/>
    <col width="6.81640625" customWidth="1" min="26" max="26"/>
    <col width="11" customWidth="1" min="27" max="27"/>
    <col hidden="1" outlineLevel="1" width="11.1796875" customWidth="1" min="28" max="28"/>
    <col collapsed="1" width="5.54296875" customWidth="1" min="29" max="29"/>
    <col hidden="1" outlineLevel="1" width="8.7265625" customWidth="1" min="30" max="30"/>
    <col collapsed="1" width="10.26953125" customWidth="1" min="31" max="31"/>
    <col width="14.453125" customWidth="1" min="32" max="32"/>
    <col width="45.81640625" bestFit="1" customWidth="1" min="33" max="33"/>
    <col width="13.453125" customWidth="1" min="34" max="34"/>
  </cols>
  <sheetData>
    <row r="1" ht="46" customFormat="1" customHeight="1" s="37">
      <c r="A1" s="25" t="inlineStr">
        <is>
          <t>Region</t>
        </is>
      </c>
      <c r="B1" s="25" t="inlineStr">
        <is>
          <t>Asset</t>
        </is>
      </c>
      <c r="C1" s="22" t="inlineStr">
        <is>
          <t>Purch. Org. - Text</t>
        </is>
      </c>
      <c r="D1" s="22" t="inlineStr">
        <is>
          <t>Vendor(VN) - Key</t>
        </is>
      </c>
      <c r="E1" s="25" t="inlineStr">
        <is>
          <t>Vendor(VN) - Text</t>
        </is>
      </c>
      <c r="F1" s="22" t="inlineStr">
        <is>
          <t>IncoTerms - Key</t>
        </is>
      </c>
      <c r="G1" s="22" t="inlineStr">
        <is>
          <t>Inco term: Additional Information - Text</t>
        </is>
      </c>
      <c r="H1" s="22" t="inlineStr">
        <is>
          <t>Purchase Document Item No. - Key</t>
        </is>
      </c>
      <c r="I1" s="22" t="inlineStr">
        <is>
          <t>Purch. Group - Key</t>
        </is>
      </c>
      <c r="J1" s="36" t="inlineStr">
        <is>
          <t>Contract (Outline Agreement) No - Key</t>
        </is>
      </c>
      <c r="K1" s="25" t="inlineStr">
        <is>
          <t>Material - Key</t>
        </is>
      </c>
      <c r="L1" s="25" t="inlineStr">
        <is>
          <t>Material - Text</t>
        </is>
      </c>
      <c r="M1" s="25" t="inlineStr">
        <is>
          <t>Purchase Document Number - Key</t>
        </is>
      </c>
      <c r="N1" s="25" t="inlineStr">
        <is>
          <t>PO Item Quantity Order UOM</t>
        </is>
      </c>
      <c r="O1" s="22" t="inlineStr">
        <is>
          <t>Purch. Item Category - Text</t>
        </is>
      </c>
      <c r="P1" s="22" t="inlineStr">
        <is>
          <t>Indicator : Delivery Completion - Key</t>
        </is>
      </c>
      <c r="Q1" s="25" t="inlineStr">
        <is>
          <t>PO Document Date - Key</t>
        </is>
      </c>
      <c r="R1" s="36" t="inlineStr">
        <is>
          <t>Date : Calculated Delivery - Key</t>
        </is>
      </c>
      <c r="S1" s="22" t="inlineStr">
        <is>
          <t>Date: First GR Posting - Key</t>
        </is>
      </c>
      <c r="T1" s="25" t="inlineStr">
        <is>
          <t>Date: PO Statistical Delv - Key</t>
        </is>
      </c>
      <c r="U1" s="25" t="inlineStr">
        <is>
          <t>Date : PO Change - Key</t>
        </is>
      </c>
      <c r="V1" s="22" t="inlineStr">
        <is>
          <t>No. of PO Schd Line</t>
        </is>
      </c>
      <c r="W1" s="22" t="inlineStr">
        <is>
          <t>Count of DIFOT</t>
        </is>
      </c>
      <c r="X1" s="22" t="inlineStr">
        <is>
          <t>DIFOT%</t>
        </is>
      </c>
      <c r="Y1" s="38" t="inlineStr">
        <is>
          <t>SEMANA</t>
        </is>
      </c>
      <c r="Z1" s="36" t="inlineStr">
        <is>
          <t>MES</t>
        </is>
      </c>
      <c r="AA1" s="36" t="inlineStr">
        <is>
          <t>DELIVERY</t>
        </is>
      </c>
      <c r="AB1" s="36" t="inlineStr">
        <is>
          <t>DEADLINE</t>
        </is>
      </c>
      <c r="AC1" s="36" t="inlineStr">
        <is>
          <t>PERFORMANCE</t>
        </is>
      </c>
      <c r="AD1" s="26" t="inlineStr">
        <is>
          <t>AÑO</t>
        </is>
      </c>
      <c r="AE1" s="23" t="inlineStr">
        <is>
          <t>Cumple con entrega 
(SI o NO)</t>
        </is>
      </c>
      <c r="AF1" s="23" t="inlineStr">
        <is>
          <t>Causa raiz en caso de fallo 
(seleccionar lo que aplica)</t>
        </is>
      </c>
      <c r="AG1" s="24" t="inlineStr">
        <is>
          <t>Comentarios</t>
        </is>
      </c>
      <c r="AH1" s="23" t="inlineStr">
        <is>
          <t>Nueva fecha de entrega
(dd/mm/yyyy)</t>
        </is>
      </c>
    </row>
  </sheetData>
  <dataValidations count="2">
    <dataValidation sqref="AF2:AF23 AH2:AH1048576" showDropDown="0" showInputMessage="1" showErrorMessage="1" allowBlank="1" type="list">
      <formula1>"Agendamiento Mintral/Sitrans,Rechazo por embalaje,Plazo de entrega de fabrica,Quiebre de stock,Ingreso incorrecto de GD (Mintral/Sitrans),Otro - Escribir razon en comentarios"</formula1>
    </dataValidation>
    <dataValidation sqref="AG2:AG1048576" showDropDown="0" showInputMessage="1" showErrorMessage="1" allowBlank="1" type="list">
      <formula1>"Si,No"</formula1>
    </dataValidation>
  </dataValidations>
  <pageMargins left="0.7" right="0.7" top="0.75" bottom="0.75" header="0.3" footer="0.3"/>
  <pageSetup orientation="landscape" paperSize="8"/>
  <headerFooter alignWithMargins="0">
    <oddHeader>&amp;C&amp;"Calibri"&amp;1 &amp;K000000 BHP Confidential#_x000d_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V27"/>
  <sheetViews>
    <sheetView showGridLines="0" tabSelected="1" topLeftCell="A6" zoomScale="115" zoomScaleNormal="115" workbookViewId="0">
      <selection activeCell="B18" sqref="B18:P23"/>
    </sheetView>
  </sheetViews>
  <sheetFormatPr baseColWidth="8" defaultColWidth="11.81640625" defaultRowHeight="12.5"/>
  <cols>
    <col width="2.453125" customWidth="1" min="1" max="1"/>
    <col width="8.1796875" bestFit="1" customWidth="1" min="2" max="2"/>
    <col width="5.6328125" customWidth="1" min="3" max="9"/>
    <col width="5.6328125" customWidth="1" style="51" min="10" max="11"/>
    <col width="5.6328125" customWidth="1" min="12" max="16"/>
    <col width="5" bestFit="1" customWidth="1" min="17" max="17"/>
    <col width="7.26953125" bestFit="1" customWidth="1" min="18" max="18"/>
    <col width="11.54296875" bestFit="1" customWidth="1" min="19" max="19"/>
    <col width="16.7265625" bestFit="1" customWidth="1" min="20" max="20"/>
    <col width="17.81640625" bestFit="1" customWidth="1" min="21" max="21"/>
    <col width="14.54296875" bestFit="1" customWidth="1" min="22" max="22"/>
  </cols>
  <sheetData>
    <row r="1">
      <c r="B1" s="67" t="inlineStr">
        <is>
          <t>DIFOT MENSUAL - CONTRATO</t>
        </is>
      </c>
      <c r="Q1" s="42" t="n"/>
    </row>
    <row r="2" ht="7.5" customHeight="1"/>
    <row r="3">
      <c r="B3" s="20" t="inlineStr">
        <is>
          <t>Contract (Outline Agreement) No - Key</t>
        </is>
      </c>
      <c r="C3" s="21" t="inlineStr">
        <is>
          <t>(Multiple Items)</t>
        </is>
      </c>
      <c r="D3" s="21" t="n"/>
      <c r="E3" s="19" t="n"/>
      <c r="R3" s="32" t="inlineStr">
        <is>
          <t>Semana</t>
        </is>
      </c>
      <c r="S3" s="32" t="inlineStr">
        <is>
          <t>PO Pendiente</t>
        </is>
      </c>
      <c r="T3" s="32" t="inlineStr">
        <is>
          <t>Compromiso lineas</t>
        </is>
      </c>
      <c r="U3" s="32" t="inlineStr">
        <is>
          <t>Compromiso prov. %</t>
        </is>
      </c>
      <c r="V3" s="32" t="inlineStr">
        <is>
          <t>Oportunidad Real</t>
        </is>
      </c>
    </row>
    <row r="4">
      <c r="B4" s="21" t="n"/>
      <c r="C4" s="21" t="n"/>
      <c r="D4" s="21" t="n"/>
      <c r="E4" s="19" t="n"/>
      <c r="G4" s="21" t="n"/>
      <c r="H4" s="19" t="n"/>
      <c r="J4" s="52" t="n"/>
      <c r="K4" s="66" t="n"/>
      <c r="M4" s="21" t="n"/>
      <c r="N4" s="21" t="n"/>
      <c r="O4" s="21" t="n"/>
      <c r="P4" s="21" t="n"/>
      <c r="Q4" s="19" t="n"/>
      <c r="R4" s="76" t="inlineStr">
        <is>
          <t>SEM 33</t>
        </is>
      </c>
      <c r="S4" s="76">
        <f>COUNTIF('Pendientes - Contrato'!$Y:AE,R4)</f>
        <v/>
      </c>
      <c r="T4" s="31">
        <f>S4-(COUNTIFS('Pendientes - Contrato'!$Y:AD,R4,'Pendientes - Contrato'!$AE:AJ,"no"))</f>
        <v/>
      </c>
      <c r="U4" s="28">
        <f>T4/$K$16</f>
        <v/>
      </c>
      <c r="V4" s="29">
        <f>$K$20+U4</f>
        <v/>
      </c>
    </row>
    <row r="5">
      <c r="B5" s="20" t="inlineStr">
        <is>
          <t>Sum of No. of PO Schd Line</t>
        </is>
      </c>
      <c r="C5" s="21" t="n"/>
      <c r="D5" s="20" t="inlineStr">
        <is>
          <t>Column Labels</t>
        </is>
      </c>
      <c r="R5" s="76" t="inlineStr">
        <is>
          <t>SEM 34</t>
        </is>
      </c>
      <c r="S5" s="76">
        <f>COUNTIF('Pendientes - Contrato'!$Y:AE,R5)</f>
        <v/>
      </c>
      <c r="T5" s="31">
        <f>S5-(COUNTIFS('Pendientes - Contrato'!$Y:AD,R5,'Pendientes - Contrato'!$AE:AJ,"no"))</f>
        <v/>
      </c>
      <c r="U5" s="28">
        <f>T5/$K$16</f>
        <v/>
      </c>
      <c r="V5" s="29">
        <f>$K$20+U5</f>
        <v/>
      </c>
    </row>
    <row r="6">
      <c r="B6" s="21" t="n"/>
      <c r="C6" s="21" t="n"/>
      <c r="D6" s="74" t="inlineStr">
        <is>
          <t>2026</t>
        </is>
      </c>
      <c r="E6" s="74" t="n"/>
      <c r="F6" s="74" t="n"/>
      <c r="G6" s="74" t="n"/>
      <c r="H6" s="74" t="n"/>
      <c r="I6" s="74" t="n"/>
      <c r="J6" s="74" t="n"/>
      <c r="K6" s="74" t="n"/>
      <c r="L6" s="74" t="n"/>
      <c r="M6" s="74" t="n"/>
      <c r="N6" s="74" t="n"/>
      <c r="O6" s="74" t="n"/>
      <c r="P6" s="74" t="inlineStr">
        <is>
          <t xml:space="preserve"> Total</t>
        </is>
      </c>
      <c r="R6" s="76" t="inlineStr">
        <is>
          <t>SEM 35</t>
        </is>
      </c>
      <c r="S6" s="76">
        <f>COUNTIF('Pendientes - Contrato'!$Y:AE,R6)</f>
        <v/>
      </c>
      <c r="T6" s="31">
        <f>S6-(COUNTIFS('Pendientes - Contrato'!$Y:AD,R6,'Pendientes - Contrato'!$AE:AJ,"no"))</f>
        <v/>
      </c>
      <c r="U6" s="28">
        <f>T6/$K$16</f>
        <v/>
      </c>
      <c r="V6" s="29">
        <f>$K$20+U6</f>
        <v/>
      </c>
    </row>
    <row r="7">
      <c r="B7" s="20" t="inlineStr">
        <is>
          <t>Row Labels</t>
        </is>
      </c>
      <c r="C7" s="62" t="inlineStr">
        <is>
          <t>DELIVERY</t>
        </is>
      </c>
      <c r="D7" s="74" t="inlineStr">
        <is>
          <t>Jan</t>
        </is>
      </c>
      <c r="E7" s="74" t="inlineStr">
        <is>
          <t>Feb</t>
        </is>
      </c>
      <c r="F7" s="74" t="inlineStr">
        <is>
          <t>Mar</t>
        </is>
      </c>
      <c r="G7" s="74" t="inlineStr">
        <is>
          <t>Apr</t>
        </is>
      </c>
      <c r="H7" s="74" t="inlineStr">
        <is>
          <t>May</t>
        </is>
      </c>
      <c r="I7" s="74" t="inlineStr">
        <is>
          <t>Jun</t>
        </is>
      </c>
      <c r="J7" t="inlineStr">
        <is>
          <t>Jul</t>
        </is>
      </c>
      <c r="K7" t="inlineStr">
        <is>
          <t>Aug</t>
        </is>
      </c>
      <c r="L7" t="inlineStr">
        <is>
          <t>Sep</t>
        </is>
      </c>
      <c r="M7" t="inlineStr">
        <is>
          <t>Oct</t>
        </is>
      </c>
      <c r="N7" t="inlineStr">
        <is>
          <t>Nov</t>
        </is>
      </c>
      <c r="O7" t="inlineStr">
        <is>
          <t>Dec</t>
        </is>
      </c>
      <c r="P7" s="74" t="n"/>
      <c r="R7" s="76" t="inlineStr">
        <is>
          <t>SEM 36</t>
        </is>
      </c>
      <c r="S7" s="76">
        <f>COUNTIF('Pendientes - Contrato'!$Y:AE,R7)</f>
        <v/>
      </c>
      <c r="T7" s="31">
        <f>S7-(COUNTIFS('Pendientes - Contrato'!$Y:AD,R7,'Pendientes - Contrato'!$AE:AJ,"no"))</f>
        <v/>
      </c>
      <c r="U7" s="28">
        <f>T7/$K$16</f>
        <v/>
      </c>
      <c r="V7" s="29">
        <f>$K$20+U7</f>
        <v/>
      </c>
    </row>
    <row r="8">
      <c r="B8" s="65" t="inlineStr">
        <is>
          <t>NOK</t>
        </is>
      </c>
      <c r="C8" s="65" t="inlineStr">
        <is>
          <t>COMPLETA</t>
        </is>
      </c>
      <c r="D8" s="75" t="n">
        <v>13</v>
      </c>
      <c r="E8" s="74" t="n">
        <v>6</v>
      </c>
      <c r="F8" s="74" t="n">
        <v>4</v>
      </c>
      <c r="G8" s="74" t="n">
        <v>11</v>
      </c>
      <c r="H8" s="74" t="n">
        <v>6</v>
      </c>
      <c r="I8" s="72" t="n">
        <v>3</v>
      </c>
      <c r="J8" s="72" t="n">
        <v>2</v>
      </c>
      <c r="K8" s="76" t="n"/>
      <c r="L8" s="72" t="n"/>
      <c r="M8" s="72" t="n"/>
      <c r="N8" s="72" t="n"/>
      <c r="O8" s="72" t="n"/>
      <c r="P8" s="74" t="n">
        <v>45</v>
      </c>
      <c r="R8" s="76" t="inlineStr">
        <is>
          <t>SEM 37</t>
        </is>
      </c>
      <c r="S8" s="40">
        <f>COUNTIF('Pendientes - Contrato'!$Y:AE,R8)</f>
        <v/>
      </c>
      <c r="T8" s="31">
        <f>S8-(COUNTIFS('Pendientes - Contrato'!$Y:AD,R8,'Pendientes - Contrato'!$AE:AJ,"no"))</f>
        <v/>
      </c>
      <c r="U8" s="28">
        <f>T8/$K$16</f>
        <v/>
      </c>
      <c r="V8" s="29">
        <f>$K$20+U8</f>
        <v/>
      </c>
    </row>
    <row r="9">
      <c r="B9" s="72" t="n"/>
      <c r="C9" s="65" t="inlineStr">
        <is>
          <t>PARCIAL</t>
        </is>
      </c>
      <c r="D9" s="75" t="n"/>
      <c r="E9" s="74" t="n"/>
      <c r="F9" s="74" t="n"/>
      <c r="G9" s="74" t="n"/>
      <c r="H9" s="74" t="n"/>
      <c r="I9" s="72" t="n"/>
      <c r="J9" s="72" t="n"/>
      <c r="K9" s="76" t="n">
        <v>2</v>
      </c>
      <c r="L9" s="72" t="n"/>
      <c r="M9" s="72" t="n"/>
      <c r="N9" s="72" t="n"/>
      <c r="O9" s="72" t="n"/>
      <c r="P9" s="74" t="n">
        <v>2</v>
      </c>
      <c r="R9" s="30" t="inlineStr">
        <is>
          <t>Total</t>
        </is>
      </c>
      <c r="S9" s="30">
        <f>SUM(S4:S8)</f>
        <v/>
      </c>
      <c r="T9" s="30">
        <f>SUM(T4:T8)</f>
        <v/>
      </c>
      <c r="U9" s="54">
        <f>T9/$K$16</f>
        <v/>
      </c>
      <c r="V9" s="50">
        <f>$K$20+U9</f>
        <v/>
      </c>
    </row>
    <row r="10">
      <c r="B10" s="72" t="n"/>
      <c r="C10" s="65" t="inlineStr">
        <is>
          <t>PENDIENTE</t>
        </is>
      </c>
      <c r="D10" s="75" t="n"/>
      <c r="E10" s="74" t="n"/>
      <c r="F10" s="74" t="n"/>
      <c r="G10" s="74" t="n"/>
      <c r="H10" s="74" t="n"/>
      <c r="I10" s="72" t="n"/>
      <c r="J10" s="72" t="n">
        <v>1</v>
      </c>
      <c r="K10" s="76" t="n">
        <v>2</v>
      </c>
      <c r="L10" s="72" t="n"/>
      <c r="M10" s="72" t="n"/>
      <c r="N10" s="72" t="n"/>
      <c r="O10" s="72" t="n"/>
      <c r="P10" s="74" t="n">
        <v>3</v>
      </c>
    </row>
    <row r="11">
      <c r="B11" s="65" t="inlineStr">
        <is>
          <t>NOK Total</t>
        </is>
      </c>
      <c r="C11" s="72" t="n"/>
      <c r="D11" s="75" t="n">
        <v>13</v>
      </c>
      <c r="E11" s="74" t="n">
        <v>6</v>
      </c>
      <c r="F11" s="74" t="n">
        <v>4</v>
      </c>
      <c r="G11" s="74" t="n">
        <v>11</v>
      </c>
      <c r="H11" s="74" t="n">
        <v>6</v>
      </c>
      <c r="I11" s="72" t="n">
        <v>3</v>
      </c>
      <c r="J11" s="72" t="n">
        <v>3</v>
      </c>
      <c r="K11" s="76" t="n">
        <v>4</v>
      </c>
      <c r="L11" s="72" t="n"/>
      <c r="M11" s="72" t="n"/>
      <c r="N11" s="72" t="n"/>
      <c r="O11" s="72" t="n"/>
      <c r="P11" s="74" t="n">
        <v>50</v>
      </c>
    </row>
    <row r="12">
      <c r="B12" s="65" t="inlineStr">
        <is>
          <t>OK</t>
        </is>
      </c>
      <c r="C12" s="65" t="inlineStr">
        <is>
          <t>COMPLETA</t>
        </is>
      </c>
      <c r="D12" s="75" t="n">
        <v>95</v>
      </c>
      <c r="E12" s="74" t="n">
        <v>111</v>
      </c>
      <c r="F12" s="74" t="n">
        <v>88</v>
      </c>
      <c r="G12" s="74" t="n">
        <v>115</v>
      </c>
      <c r="H12" s="74" t="n">
        <v>141</v>
      </c>
      <c r="I12" s="72" t="n">
        <v>97</v>
      </c>
      <c r="J12" s="72" t="n">
        <v>70</v>
      </c>
      <c r="K12" s="76" t="n">
        <v>99</v>
      </c>
      <c r="L12" s="72" t="n">
        <v>14</v>
      </c>
      <c r="M12" s="72" t="n">
        <v>1</v>
      </c>
      <c r="N12" s="72" t="n"/>
      <c r="O12" s="72" t="n"/>
      <c r="P12" s="74" t="n">
        <v>831</v>
      </c>
    </row>
    <row r="13">
      <c r="B13" s="72" t="n"/>
      <c r="C13" s="65" t="inlineStr">
        <is>
          <t>PARCIAL</t>
        </is>
      </c>
      <c r="D13" s="75" t="n"/>
      <c r="E13" s="74" t="n"/>
      <c r="F13" s="74" t="n"/>
      <c r="G13" s="74" t="n"/>
      <c r="H13" s="74" t="n"/>
      <c r="I13" s="72" t="n"/>
      <c r="J13" s="72" t="n"/>
      <c r="K13" s="76" t="n">
        <v>2</v>
      </c>
      <c r="L13" s="72" t="n"/>
      <c r="M13" s="72" t="n">
        <v>1</v>
      </c>
      <c r="N13" s="72" t="n"/>
      <c r="O13" s="72" t="n"/>
      <c r="P13" s="74" t="n">
        <v>3</v>
      </c>
    </row>
    <row r="14">
      <c r="B14" s="72" t="n"/>
      <c r="C14" s="65" t="inlineStr">
        <is>
          <t>PENDIENTE</t>
        </is>
      </c>
      <c r="D14" s="75" t="n"/>
      <c r="E14" s="74" t="n"/>
      <c r="F14" s="74" t="n"/>
      <c r="G14" s="74" t="n"/>
      <c r="H14" s="74" t="n"/>
      <c r="I14" s="72" t="n"/>
      <c r="J14" s="72" t="n"/>
      <c r="K14" s="76" t="n">
        <v>18</v>
      </c>
      <c r="L14" s="72" t="n">
        <v>58</v>
      </c>
      <c r="M14" s="72" t="n">
        <v>31</v>
      </c>
      <c r="N14" s="72" t="n">
        <v>28</v>
      </c>
      <c r="O14" s="72" t="n">
        <v>5</v>
      </c>
      <c r="P14" s="74" t="n">
        <v>140</v>
      </c>
    </row>
    <row r="15">
      <c r="B15" s="65" t="inlineStr">
        <is>
          <t>OK Total</t>
        </is>
      </c>
      <c r="C15" s="72" t="n"/>
      <c r="D15" s="75" t="n">
        <v>95</v>
      </c>
      <c r="E15" s="74" t="n">
        <v>111</v>
      </c>
      <c r="F15" s="74" t="n">
        <v>88</v>
      </c>
      <c r="G15" s="74" t="n">
        <v>115</v>
      </c>
      <c r="H15" s="74" t="n">
        <v>141</v>
      </c>
      <c r="I15" s="72" t="n">
        <v>97</v>
      </c>
      <c r="J15" s="72" t="n">
        <v>70</v>
      </c>
      <c r="K15" s="76" t="n">
        <v>119</v>
      </c>
      <c r="L15" s="72" t="n">
        <v>72</v>
      </c>
      <c r="M15" s="72" t="n">
        <v>33</v>
      </c>
      <c r="N15" s="72" t="n">
        <v>28</v>
      </c>
      <c r="O15" s="72" t="n">
        <v>5</v>
      </c>
      <c r="P15" s="74" t="n">
        <v>974</v>
      </c>
    </row>
    <row r="16">
      <c r="B16" s="65" t="inlineStr">
        <is>
          <t xml:space="preserve"> Total</t>
        </is>
      </c>
      <c r="C16" s="72" t="n"/>
      <c r="D16" s="75" t="n">
        <v>108</v>
      </c>
      <c r="E16" s="74" t="n">
        <v>117</v>
      </c>
      <c r="F16" s="74" t="n">
        <v>92</v>
      </c>
      <c r="G16" s="74" t="n">
        <v>126</v>
      </c>
      <c r="H16" s="74" t="n">
        <v>147</v>
      </c>
      <c r="I16" s="72" t="n">
        <v>100</v>
      </c>
      <c r="J16" s="72" t="n">
        <v>73</v>
      </c>
      <c r="K16" s="76" t="n">
        <v>123</v>
      </c>
      <c r="L16" s="72" t="n">
        <v>72</v>
      </c>
      <c r="M16" s="72" t="n">
        <v>33</v>
      </c>
      <c r="N16" s="72" t="n">
        <v>28</v>
      </c>
      <c r="O16" s="72" t="n">
        <v>5</v>
      </c>
      <c r="P16" s="74" t="n">
        <v>1024</v>
      </c>
    </row>
    <row r="17" ht="13" customHeight="1" thickBot="1"/>
    <row r="18">
      <c r="B18" s="69" t="inlineStr">
        <is>
          <t>Resultados</t>
        </is>
      </c>
      <c r="D18" s="32">
        <f>D7</f>
        <v/>
      </c>
      <c r="E18" s="32">
        <f>E7</f>
        <v/>
      </c>
      <c r="F18" s="32">
        <f>F7</f>
        <v/>
      </c>
      <c r="G18" s="32">
        <f>G7</f>
        <v/>
      </c>
      <c r="H18" s="32">
        <f>H7</f>
        <v/>
      </c>
      <c r="I18" s="32">
        <f>I7</f>
        <v/>
      </c>
      <c r="J18" s="32">
        <f>J7</f>
        <v/>
      </c>
      <c r="K18" s="45">
        <f>K7</f>
        <v/>
      </c>
      <c r="L18" s="32">
        <f>L7</f>
        <v/>
      </c>
      <c r="M18" s="32">
        <f>M7</f>
        <v/>
      </c>
      <c r="N18" s="32">
        <f>N7</f>
        <v/>
      </c>
      <c r="O18" s="32">
        <f>O7</f>
        <v/>
      </c>
      <c r="P18" s="45">
        <f>P6</f>
        <v/>
      </c>
      <c r="Q18" s="41" t="n"/>
    </row>
    <row r="19">
      <c r="B19" s="70" t="inlineStr">
        <is>
          <t>META</t>
        </is>
      </c>
      <c r="D19" s="33" t="n">
        <v>0.9399999999999999</v>
      </c>
      <c r="E19" s="33" t="n">
        <v>0.9399999999999999</v>
      </c>
      <c r="F19" s="33" t="n">
        <v>0.9399999999999999</v>
      </c>
      <c r="G19" s="33" t="n">
        <v>0.9399999999999999</v>
      </c>
      <c r="H19" s="33" t="n">
        <v>0.9399999999999999</v>
      </c>
      <c r="I19" s="33" t="n">
        <v>0.9399999999999999</v>
      </c>
      <c r="J19" s="33" t="n">
        <v>0.9399999999999999</v>
      </c>
      <c r="K19" s="46" t="n">
        <v>0.9399999999999999</v>
      </c>
      <c r="L19" s="33" t="n">
        <v>0.9399999999999999</v>
      </c>
      <c r="M19" s="33" t="n">
        <v>0.9399999999999999</v>
      </c>
      <c r="N19" s="33" t="n">
        <v>0.9399999999999999</v>
      </c>
      <c r="O19" s="33" t="n">
        <v>0.9399999999999999</v>
      </c>
      <c r="P19" s="46" t="n">
        <v>0.9399999999999999</v>
      </c>
      <c r="Q19" s="35" t="n"/>
    </row>
    <row r="20">
      <c r="B20" s="68" t="inlineStr">
        <is>
          <t>OK</t>
        </is>
      </c>
      <c r="D20" s="34">
        <f>D12/D16</f>
        <v/>
      </c>
      <c r="E20" s="34">
        <f>E12/E16</f>
        <v/>
      </c>
      <c r="F20" s="34">
        <f>F12/F16</f>
        <v/>
      </c>
      <c r="G20" s="34">
        <f>G12/G16</f>
        <v/>
      </c>
      <c r="H20" s="34">
        <f>H12/H16</f>
        <v/>
      </c>
      <c r="I20" s="34">
        <f>I12/I16</f>
        <v/>
      </c>
      <c r="J20" s="34">
        <f>J12/J16</f>
        <v/>
      </c>
      <c r="K20" s="47">
        <f>K12/K16</f>
        <v/>
      </c>
      <c r="L20" s="34">
        <f>L12/L16</f>
        <v/>
      </c>
      <c r="M20" s="34">
        <f>M12/M16</f>
        <v/>
      </c>
      <c r="N20" s="34">
        <f>N12/N16</f>
        <v/>
      </c>
      <c r="O20" s="34">
        <f>O12/O16</f>
        <v/>
      </c>
      <c r="P20" s="47">
        <f>P12/P16</f>
        <v/>
      </c>
      <c r="Q20" s="34" t="n"/>
    </row>
    <row r="21">
      <c r="B21" s="68" t="inlineStr">
        <is>
          <t>NOK</t>
        </is>
      </c>
      <c r="D21" s="35">
        <f>D11/D16</f>
        <v/>
      </c>
      <c r="E21" s="35">
        <f>E11/E16</f>
        <v/>
      </c>
      <c r="F21" s="35">
        <f>F11/F16</f>
        <v/>
      </c>
      <c r="G21" s="35">
        <f>G11/G16</f>
        <v/>
      </c>
      <c r="H21" s="35">
        <f>H11/H16</f>
        <v/>
      </c>
      <c r="I21" s="35">
        <f>I11/I16</f>
        <v/>
      </c>
      <c r="J21" s="35">
        <f>J11/J16</f>
        <v/>
      </c>
      <c r="K21" s="48">
        <f>K11/K16</f>
        <v/>
      </c>
      <c r="L21" s="35">
        <f>L11/L16</f>
        <v/>
      </c>
      <c r="M21" s="35">
        <f>M11/M16</f>
        <v/>
      </c>
      <c r="N21" s="35">
        <f>N11/N16</f>
        <v/>
      </c>
      <c r="O21" s="35">
        <f>O11/O16</f>
        <v/>
      </c>
      <c r="P21" s="48">
        <f>P11/P16</f>
        <v/>
      </c>
      <c r="Q21" s="35" t="n"/>
    </row>
    <row r="22">
      <c r="B22" s="68" t="inlineStr">
        <is>
          <t>EN PROCESO</t>
        </is>
      </c>
      <c r="D22" s="35">
        <f>(D13+D14)/D16</f>
        <v/>
      </c>
      <c r="E22" s="35">
        <f>(E13+E14)/E16</f>
        <v/>
      </c>
      <c r="F22" s="35">
        <f>(F13+F14)/F16</f>
        <v/>
      </c>
      <c r="G22" s="35">
        <f>(G13+G14)/G16</f>
        <v/>
      </c>
      <c r="H22" s="35">
        <f>(H13+H14)/H16</f>
        <v/>
      </c>
      <c r="I22" s="35">
        <f>(I13+I14)/I16</f>
        <v/>
      </c>
      <c r="J22" s="35">
        <f>(J13+J14)/J16</f>
        <v/>
      </c>
      <c r="K22" s="48">
        <f>(K13+K14)/K16</f>
        <v/>
      </c>
      <c r="L22" s="35">
        <f>(L13+L14)/L16</f>
        <v/>
      </c>
      <c r="M22" s="35">
        <f>(M13+M14)/M16</f>
        <v/>
      </c>
      <c r="N22" s="35">
        <f>(N13+N14)/N16</f>
        <v/>
      </c>
      <c r="O22" s="35">
        <f>(O13+O14)/O16</f>
        <v/>
      </c>
      <c r="P22" s="48">
        <f>(P13+P14)/P16</f>
        <v/>
      </c>
      <c r="Q22" s="35" t="n"/>
    </row>
    <row r="23" ht="13" customHeight="1" thickBot="1">
      <c r="B23" s="68" t="inlineStr">
        <is>
          <t>OPORTUNIDAD</t>
        </is>
      </c>
      <c r="D23" s="35">
        <f>D20+D22</f>
        <v/>
      </c>
      <c r="E23" s="35">
        <f>E20+E22</f>
        <v/>
      </c>
      <c r="F23" s="35">
        <f>F20+F22</f>
        <v/>
      </c>
      <c r="G23" s="35">
        <f>G20+G22</f>
        <v/>
      </c>
      <c r="H23" s="35">
        <f>H20+H22</f>
        <v/>
      </c>
      <c r="I23" s="35">
        <f>I20+I22</f>
        <v/>
      </c>
      <c r="J23" s="35">
        <f>J20+J22</f>
        <v/>
      </c>
      <c r="K23" s="49">
        <f>K20+K22</f>
        <v/>
      </c>
      <c r="L23" s="35">
        <f>L20+L22</f>
        <v/>
      </c>
      <c r="M23" s="35">
        <f>M20+M22</f>
        <v/>
      </c>
      <c r="N23" s="35">
        <f>N20+N22</f>
        <v/>
      </c>
      <c r="O23" s="35">
        <f>O20+O22</f>
        <v/>
      </c>
      <c r="P23" s="49">
        <f>P20+P22</f>
        <v/>
      </c>
      <c r="Q23" s="35" t="n"/>
    </row>
    <row r="27">
      <c r="J27" s="53" t="n"/>
    </row>
  </sheetData>
  <mergeCells count="7">
    <mergeCell ref="B21:C21"/>
    <mergeCell ref="B19:C19"/>
    <mergeCell ref="B20:C20"/>
    <mergeCell ref="B23:C23"/>
    <mergeCell ref="B22:C22"/>
    <mergeCell ref="B1:P1"/>
    <mergeCell ref="B18:C18"/>
  </mergeCells>
  <conditionalFormatting sqref="B19 B23">
    <cfRule type="containsText" priority="1" operator="containsText" dxfId="62" text="error">
      <formula>NOT(ISERROR(SEARCH("error",B19)))</formula>
    </cfRule>
    <cfRule type="containsText" priority="2" operator="containsText" dxfId="61" text="ok">
      <formula>NOT(ISERROR(SEARCH("ok",B19)))</formula>
    </cfRule>
  </conditionalFormatting>
  <pageMargins left="0.7" right="0.7" top="0.75" bottom="0.75" header="0.3" footer="0.3"/>
  <headerFooter>
    <oddHeader>&amp;C&amp;"Calibri"&amp;1 &amp;K000000 BHP Confidential#_x000d_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S23"/>
  <sheetViews>
    <sheetView showGridLines="0" zoomScale="115" zoomScaleNormal="115" workbookViewId="0">
      <selection activeCell="D14" sqref="D14"/>
    </sheetView>
  </sheetViews>
  <sheetFormatPr baseColWidth="8" defaultColWidth="8.7265625" defaultRowHeight="12.5"/>
  <cols>
    <col width="2.1796875" customWidth="1" style="55" min="1" max="1"/>
    <col width="25.36328125" bestFit="1" customWidth="1" style="55" min="2" max="2"/>
    <col width="10.453125" bestFit="1" customWidth="1" style="55" min="3" max="3"/>
    <col width="13.54296875" bestFit="1" customWidth="1" style="55" min="4" max="4"/>
    <col width="3.453125" bestFit="1" customWidth="1" style="55" min="5" max="5"/>
    <col width="3.36328125" bestFit="1" customWidth="1" style="55" min="6" max="6"/>
    <col width="3.26953125" bestFit="1" customWidth="1" style="55" min="7" max="7"/>
    <col width="3.6328125" bestFit="1" customWidth="1" style="55" min="8" max="8"/>
    <col width="3.453125" bestFit="1" customWidth="1" style="55" min="9" max="9"/>
    <col width="2.90625" bestFit="1" customWidth="1" style="55" min="10" max="10"/>
    <col width="3.6328125" bestFit="1" customWidth="1" style="55" min="11" max="11"/>
    <col width="3.54296875" bestFit="1" customWidth="1" style="55" min="12" max="12"/>
    <col width="3.1796875" bestFit="1" customWidth="1" style="55" min="13" max="13"/>
    <col width="3.6328125" bestFit="1" customWidth="1" style="55" min="14" max="14"/>
    <col width="3.54296875" bestFit="1" customWidth="1" style="55" min="15" max="15"/>
    <col width="4.26953125" bestFit="1" customWidth="1" style="55" min="16" max="16"/>
    <col width="5" bestFit="1" customWidth="1" style="55" min="17" max="18"/>
    <col width="4.81640625" bestFit="1" customWidth="1" style="55" min="19" max="19"/>
    <col width="9.7265625" bestFit="1" customWidth="1" style="55" min="20" max="20"/>
    <col width="11.1796875" bestFit="1" customWidth="1" style="55" min="21" max="21"/>
    <col width="32.26953125" bestFit="1" customWidth="1" style="55" min="22" max="294"/>
    <col width="11.1796875" bestFit="1" customWidth="1" style="55" min="295" max="295"/>
    <col width="8.7265625" customWidth="1" style="55" min="296" max="16384"/>
  </cols>
  <sheetData>
    <row r="1">
      <c r="B1" s="71" t="inlineStr">
        <is>
          <t>DIFOT - CONTRATO/FUERA DE CONTRATO</t>
        </is>
      </c>
    </row>
    <row r="2" ht="7" customHeight="1"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</row>
    <row r="3">
      <c r="B3" s="59" t="inlineStr">
        <is>
          <t>Contract (Outline Agreement) No - Key</t>
        </is>
      </c>
      <c r="C3" s="60" t="inlineStr">
        <is>
          <t>(All)</t>
        </is>
      </c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</row>
    <row r="4">
      <c r="B4" s="74" t="n"/>
      <c r="C4" s="74" t="n"/>
      <c r="D4" s="74" t="n"/>
      <c r="E4" s="74" t="n"/>
      <c r="F4" s="74" t="n"/>
      <c r="G4" s="74" t="n"/>
      <c r="H4" s="74" t="n"/>
      <c r="I4" s="74" t="n"/>
      <c r="J4" s="74" t="n"/>
      <c r="K4" s="74" t="n"/>
      <c r="L4" s="74" t="n"/>
      <c r="M4" s="74" t="n"/>
      <c r="N4" s="74" t="n"/>
      <c r="O4" s="74" t="n"/>
      <c r="P4" s="74" t="n"/>
    </row>
    <row r="5">
      <c r="B5" s="59" t="inlineStr">
        <is>
          <t>Sum of No. of PO Schd Line</t>
        </is>
      </c>
      <c r="C5" s="61" t="n"/>
      <c r="D5" s="59" t="inlineStr">
        <is>
          <t>Column Labels</t>
        </is>
      </c>
      <c r="E5" s="74" t="n"/>
      <c r="F5" s="74" t="n"/>
      <c r="G5" s="74" t="n"/>
      <c r="H5" s="74" t="n"/>
      <c r="I5" s="74" t="n"/>
      <c r="J5" s="74" t="n"/>
      <c r="K5" s="74" t="n"/>
      <c r="L5" s="74" t="n"/>
      <c r="M5" s="74" t="n"/>
      <c r="N5" s="74" t="n"/>
      <c r="O5" s="74" t="n"/>
      <c r="P5" s="74" t="n"/>
    </row>
    <row r="6">
      <c r="B6" s="61" t="n"/>
      <c r="C6" s="61" t="n"/>
      <c r="D6" s="74" t="inlineStr">
        <is>
          <t>2026</t>
        </is>
      </c>
      <c r="E6" s="74" t="n"/>
      <c r="F6" s="74" t="n"/>
      <c r="G6" s="74" t="n"/>
      <c r="H6" s="74" t="n"/>
      <c r="I6" s="74" t="n"/>
      <c r="J6" s="74" t="n"/>
      <c r="K6" s="74" t="n"/>
      <c r="L6" s="74" t="n"/>
      <c r="M6" s="74" t="n"/>
      <c r="N6" s="74" t="n"/>
      <c r="O6" s="74" t="n"/>
      <c r="P6" s="74" t="inlineStr">
        <is>
          <t>Total</t>
        </is>
      </c>
    </row>
    <row r="7">
      <c r="B7" s="62" t="inlineStr">
        <is>
          <t>Row Labels</t>
        </is>
      </c>
      <c r="C7" s="62" t="inlineStr">
        <is>
          <t>DELIVERY</t>
        </is>
      </c>
      <c r="D7" s="74" t="inlineStr">
        <is>
          <t>Jan</t>
        </is>
      </c>
      <c r="E7" s="74" t="inlineStr">
        <is>
          <t>Feb</t>
        </is>
      </c>
      <c r="F7" s="74" t="inlineStr">
        <is>
          <t>Mar</t>
        </is>
      </c>
      <c r="G7" s="74" t="inlineStr">
        <is>
          <t>Apr</t>
        </is>
      </c>
      <c r="H7" s="74" t="inlineStr">
        <is>
          <t>May</t>
        </is>
      </c>
      <c r="I7" s="74" t="inlineStr">
        <is>
          <t>Jun</t>
        </is>
      </c>
      <c r="J7" s="74" t="inlineStr">
        <is>
          <t>Jul</t>
        </is>
      </c>
      <c r="K7" s="74" t="inlineStr">
        <is>
          <t>Aug</t>
        </is>
      </c>
      <c r="L7" s="74" t="inlineStr">
        <is>
          <t>Sep</t>
        </is>
      </c>
      <c r="M7" s="74" t="inlineStr">
        <is>
          <t>Oct</t>
        </is>
      </c>
      <c r="N7" s="74" t="inlineStr">
        <is>
          <t>Nov</t>
        </is>
      </c>
      <c r="O7" s="74" t="inlineStr">
        <is>
          <t>Dec</t>
        </is>
      </c>
      <c r="P7" s="74" t="n"/>
    </row>
    <row r="8">
      <c r="B8" s="63" t="inlineStr">
        <is>
          <t>NOK</t>
        </is>
      </c>
      <c r="C8" s="63" t="inlineStr">
        <is>
          <t>COMPLETA</t>
        </is>
      </c>
      <c r="D8" s="72" t="n">
        <v>14</v>
      </c>
      <c r="E8" s="72" t="n">
        <v>12</v>
      </c>
      <c r="F8" s="72" t="n">
        <v>5</v>
      </c>
      <c r="G8" s="72" t="n">
        <v>11</v>
      </c>
      <c r="H8" s="72" t="n">
        <v>6</v>
      </c>
      <c r="I8" s="72" t="n">
        <v>3</v>
      </c>
      <c r="J8" s="72" t="n">
        <v>2</v>
      </c>
      <c r="K8" s="72" t="n">
        <v>1</v>
      </c>
      <c r="L8" s="72" t="n"/>
      <c r="M8" s="72" t="n"/>
      <c r="N8" s="72" t="n"/>
      <c r="O8" s="72" t="n"/>
      <c r="P8" s="72" t="n">
        <v>54</v>
      </c>
    </row>
    <row r="9">
      <c r="B9" s="74" t="n"/>
      <c r="C9" s="63" t="inlineStr">
        <is>
          <t>PARCIAL</t>
        </is>
      </c>
      <c r="D9" s="72" t="n"/>
      <c r="E9" s="72" t="n"/>
      <c r="F9" s="72" t="n"/>
      <c r="G9" s="72" t="n"/>
      <c r="H9" s="72" t="n"/>
      <c r="I9" s="72" t="n"/>
      <c r="J9" s="72" t="n"/>
      <c r="K9" s="72" t="n">
        <v>2</v>
      </c>
      <c r="L9" s="72" t="n"/>
      <c r="M9" s="72" t="n"/>
      <c r="N9" s="72" t="n"/>
      <c r="O9" s="72" t="n"/>
      <c r="P9" s="72" t="n">
        <v>2</v>
      </c>
    </row>
    <row r="10">
      <c r="B10" s="74" t="n"/>
      <c r="C10" s="63" t="inlineStr">
        <is>
          <t>PENDIENTE</t>
        </is>
      </c>
      <c r="D10" s="72" t="n"/>
      <c r="E10" s="72" t="n"/>
      <c r="F10" s="72" t="n"/>
      <c r="G10" s="72" t="n"/>
      <c r="H10" s="72" t="n"/>
      <c r="I10" s="72" t="n"/>
      <c r="J10" s="72" t="n">
        <v>1</v>
      </c>
      <c r="K10" s="72" t="n">
        <v>3</v>
      </c>
      <c r="L10" s="72" t="n"/>
      <c r="M10" s="72" t="n"/>
      <c r="N10" s="72" t="n"/>
      <c r="O10" s="72" t="n"/>
      <c r="P10" s="72" t="n">
        <v>4</v>
      </c>
    </row>
    <row r="11">
      <c r="B11" s="63" t="inlineStr">
        <is>
          <t>NOK Total</t>
        </is>
      </c>
      <c r="C11" s="74" t="n"/>
      <c r="D11" s="72" t="n">
        <v>14</v>
      </c>
      <c r="E11" s="72" t="n">
        <v>12</v>
      </c>
      <c r="F11" s="72" t="n">
        <v>5</v>
      </c>
      <c r="G11" s="72" t="n">
        <v>11</v>
      </c>
      <c r="H11" s="72" t="n">
        <v>6</v>
      </c>
      <c r="I11" s="72" t="n">
        <v>3</v>
      </c>
      <c r="J11" s="72" t="n">
        <v>3</v>
      </c>
      <c r="K11" s="72" t="n">
        <v>6</v>
      </c>
      <c r="L11" s="72" t="n"/>
      <c r="M11" s="72" t="n"/>
      <c r="N11" s="72" t="n"/>
      <c r="O11" s="72" t="n"/>
      <c r="P11" s="72" t="n">
        <v>60</v>
      </c>
    </row>
    <row r="12">
      <c r="B12" s="63" t="inlineStr">
        <is>
          <t>OK</t>
        </is>
      </c>
      <c r="C12" s="63" t="inlineStr">
        <is>
          <t>COMPLETA</t>
        </is>
      </c>
      <c r="D12" s="72" t="n">
        <v>107</v>
      </c>
      <c r="E12" s="72" t="n">
        <v>117</v>
      </c>
      <c r="F12" s="72" t="n">
        <v>96</v>
      </c>
      <c r="G12" s="72" t="n">
        <v>129</v>
      </c>
      <c r="H12" s="72" t="n">
        <v>155</v>
      </c>
      <c r="I12" s="72" t="n">
        <v>105</v>
      </c>
      <c r="J12" s="72" t="n">
        <v>84</v>
      </c>
      <c r="K12" s="72" t="n">
        <v>109</v>
      </c>
      <c r="L12" s="72" t="n">
        <v>14</v>
      </c>
      <c r="M12" s="72" t="n">
        <v>1</v>
      </c>
      <c r="N12" s="72" t="n"/>
      <c r="O12" s="72" t="n"/>
      <c r="P12" s="72" t="n">
        <v>917</v>
      </c>
    </row>
    <row r="13">
      <c r="B13" s="74" t="n"/>
      <c r="C13" s="63" t="inlineStr">
        <is>
          <t>PARCIAL</t>
        </is>
      </c>
      <c r="D13" s="72" t="n"/>
      <c r="E13" s="72" t="n"/>
      <c r="F13" s="72" t="n"/>
      <c r="G13" s="72" t="n"/>
      <c r="H13" s="72" t="n"/>
      <c r="I13" s="72" t="n"/>
      <c r="J13" s="72" t="n"/>
      <c r="K13" s="72" t="n">
        <v>2</v>
      </c>
      <c r="L13" s="72" t="n">
        <v>1</v>
      </c>
      <c r="M13" s="72" t="n">
        <v>1</v>
      </c>
      <c r="N13" s="72" t="n"/>
      <c r="O13" s="72" t="n"/>
      <c r="P13" s="72" t="n">
        <v>4</v>
      </c>
    </row>
    <row r="14">
      <c r="B14" s="74" t="n"/>
      <c r="C14" s="63" t="inlineStr">
        <is>
          <t>PENDIENTE</t>
        </is>
      </c>
      <c r="D14" s="72" t="n"/>
      <c r="E14" s="72" t="n"/>
      <c r="F14" s="72" t="n"/>
      <c r="G14" s="72" t="n"/>
      <c r="H14" s="72" t="n"/>
      <c r="I14" s="72" t="n"/>
      <c r="J14" s="72" t="n"/>
      <c r="K14" s="72" t="n">
        <v>19</v>
      </c>
      <c r="L14" s="72" t="n">
        <v>66</v>
      </c>
      <c r="M14" s="72" t="n">
        <v>38</v>
      </c>
      <c r="N14" s="72" t="n">
        <v>35</v>
      </c>
      <c r="O14" s="72" t="n">
        <v>5</v>
      </c>
      <c r="P14" s="72" t="n">
        <v>163</v>
      </c>
    </row>
    <row r="15">
      <c r="B15" s="63" t="inlineStr">
        <is>
          <t>OK Total</t>
        </is>
      </c>
      <c r="C15" s="74" t="n"/>
      <c r="D15" s="72" t="n">
        <v>107</v>
      </c>
      <c r="E15" s="72" t="n">
        <v>117</v>
      </c>
      <c r="F15" s="72" t="n">
        <v>96</v>
      </c>
      <c r="G15" s="72" t="n">
        <v>129</v>
      </c>
      <c r="H15" s="72" t="n">
        <v>155</v>
      </c>
      <c r="I15" s="72" t="n">
        <v>105</v>
      </c>
      <c r="J15" s="72" t="n">
        <v>84</v>
      </c>
      <c r="K15" s="72" t="n">
        <v>130</v>
      </c>
      <c r="L15" s="72" t="n">
        <v>81</v>
      </c>
      <c r="M15" s="72" t="n">
        <v>40</v>
      </c>
      <c r="N15" s="72" t="n">
        <v>35</v>
      </c>
      <c r="O15" s="72" t="n">
        <v>5</v>
      </c>
      <c r="P15" s="72" t="n">
        <v>1084</v>
      </c>
    </row>
    <row r="16">
      <c r="B16" s="65" t="inlineStr">
        <is>
          <t>Total</t>
        </is>
      </c>
      <c r="C16" s="72" t="n"/>
      <c r="D16" s="72" t="n">
        <v>121</v>
      </c>
      <c r="E16" s="72" t="n">
        <v>129</v>
      </c>
      <c r="F16" s="72" t="n">
        <v>101</v>
      </c>
      <c r="G16" s="72" t="n">
        <v>140</v>
      </c>
      <c r="H16" s="72" t="n">
        <v>161</v>
      </c>
      <c r="I16" s="72" t="n">
        <v>108</v>
      </c>
      <c r="J16" s="72" t="n">
        <v>87</v>
      </c>
      <c r="K16" s="72" t="n">
        <v>136</v>
      </c>
      <c r="L16" s="72" t="n">
        <v>81</v>
      </c>
      <c r="M16" s="72" t="n">
        <v>40</v>
      </c>
      <c r="N16" s="72" t="n">
        <v>35</v>
      </c>
      <c r="O16" s="72" t="n">
        <v>5</v>
      </c>
      <c r="P16" s="72" t="n">
        <v>1144</v>
      </c>
    </row>
    <row r="17" ht="13" customHeight="1" thickBot="1">
      <c r="B17" s="74" t="n"/>
      <c r="C17" s="74" t="n"/>
      <c r="D17" s="74" t="n"/>
      <c r="E17" s="74" t="n"/>
      <c r="F17" s="74" t="n"/>
      <c r="G17" s="74" t="n"/>
      <c r="H17" s="74" t="n"/>
      <c r="I17" s="74" t="n"/>
      <c r="J17" s="74" t="n"/>
      <c r="K17" s="74" t="n"/>
      <c r="L17" s="74" t="n"/>
      <c r="M17" s="74" t="n"/>
      <c r="N17" s="74" t="n"/>
      <c r="O17" s="74" t="n"/>
      <c r="P17" s="74" t="n"/>
    </row>
    <row r="18" ht="13" customHeight="1">
      <c r="B18" s="69" t="inlineStr">
        <is>
          <t>Resultados</t>
        </is>
      </c>
      <c r="D18" s="32">
        <f>D7</f>
        <v/>
      </c>
      <c r="E18" s="32">
        <f>E7</f>
        <v/>
      </c>
      <c r="F18" s="32">
        <f>F7</f>
        <v/>
      </c>
      <c r="G18" s="32">
        <f>G7</f>
        <v/>
      </c>
      <c r="H18" s="32">
        <f>H7</f>
        <v/>
      </c>
      <c r="I18" s="32">
        <f>I7</f>
        <v/>
      </c>
      <c r="J18" s="32">
        <f>J7</f>
        <v/>
      </c>
      <c r="K18" s="45">
        <f>K7</f>
        <v/>
      </c>
      <c r="L18" s="32">
        <f>L7</f>
        <v/>
      </c>
      <c r="M18" s="32">
        <f>M7</f>
        <v/>
      </c>
      <c r="N18" s="32">
        <f>N7</f>
        <v/>
      </c>
      <c r="O18" s="32">
        <f>O7</f>
        <v/>
      </c>
      <c r="P18" s="45">
        <f>P6</f>
        <v/>
      </c>
      <c r="Q18" s="56" t="n"/>
      <c r="R18" s="56" t="n"/>
      <c r="S18" s="56" t="n"/>
    </row>
    <row r="19">
      <c r="B19" s="70" t="inlineStr">
        <is>
          <t>META</t>
        </is>
      </c>
      <c r="D19" s="33" t="n">
        <v>0.9399999999999999</v>
      </c>
      <c r="E19" s="33" t="n">
        <v>0.9399999999999999</v>
      </c>
      <c r="F19" s="33" t="n">
        <v>0.9399999999999999</v>
      </c>
      <c r="G19" s="33" t="n">
        <v>0.9399999999999999</v>
      </c>
      <c r="H19" s="33" t="n">
        <v>0.9399999999999999</v>
      </c>
      <c r="I19" s="33" t="n">
        <v>0.9399999999999999</v>
      </c>
      <c r="J19" s="33" t="n">
        <v>0.9399999999999999</v>
      </c>
      <c r="K19" s="46" t="n">
        <v>0.9399999999999999</v>
      </c>
      <c r="L19" s="33" t="n">
        <v>0.9399999999999999</v>
      </c>
      <c r="M19" s="33" t="n">
        <v>0.9399999999999999</v>
      </c>
      <c r="N19" s="33" t="n">
        <v>0.9399999999999999</v>
      </c>
      <c r="O19" s="33" t="n">
        <v>0.9399999999999999</v>
      </c>
      <c r="P19" s="46" t="n">
        <v>1.94</v>
      </c>
      <c r="Q19" s="57" t="n"/>
      <c r="R19" s="57" t="n"/>
      <c r="S19" s="57" t="n"/>
    </row>
    <row r="20" ht="13" customHeight="1">
      <c r="B20" s="68" t="inlineStr">
        <is>
          <t>OK</t>
        </is>
      </c>
      <c r="D20" s="34">
        <f>D12/D16</f>
        <v/>
      </c>
      <c r="E20" s="34">
        <f>E12/E16</f>
        <v/>
      </c>
      <c r="F20" s="34">
        <f>F12/F16</f>
        <v/>
      </c>
      <c r="G20" s="34">
        <f>G12/G16</f>
        <v/>
      </c>
      <c r="H20" s="34">
        <f>H12/H16</f>
        <v/>
      </c>
      <c r="I20" s="34">
        <f>I12/I16</f>
        <v/>
      </c>
      <c r="J20" s="34">
        <f>J12/J16</f>
        <v/>
      </c>
      <c r="K20" s="34">
        <f>K12/K16</f>
        <v/>
      </c>
      <c r="L20" s="34">
        <f>L12/L16</f>
        <v/>
      </c>
      <c r="M20" s="34">
        <f>M12/M16</f>
        <v/>
      </c>
      <c r="N20" s="34">
        <f>N12/N16</f>
        <v/>
      </c>
      <c r="O20" s="34">
        <f>O12/O16</f>
        <v/>
      </c>
      <c r="P20" s="34">
        <f>P12/P16</f>
        <v/>
      </c>
      <c r="Q20" s="58" t="n"/>
      <c r="R20" s="58" t="n"/>
      <c r="S20" s="58" t="n"/>
    </row>
    <row r="21">
      <c r="B21" s="68" t="inlineStr">
        <is>
          <t>NOK</t>
        </is>
      </c>
      <c r="D21" s="35">
        <f>D11/D16</f>
        <v/>
      </c>
      <c r="E21" s="35">
        <f>E11/E16</f>
        <v/>
      </c>
      <c r="F21" s="35">
        <f>F11/F16</f>
        <v/>
      </c>
      <c r="G21" s="35">
        <f>G11/G16</f>
        <v/>
      </c>
      <c r="H21" s="35">
        <f>H11/H16</f>
        <v/>
      </c>
      <c r="I21" s="35">
        <f>I11/I16</f>
        <v/>
      </c>
      <c r="J21" s="35">
        <f>J11/J16</f>
        <v/>
      </c>
      <c r="K21" s="35">
        <f>K11/K16</f>
        <v/>
      </c>
      <c r="L21" s="35">
        <f>L11/L16</f>
        <v/>
      </c>
      <c r="M21" s="35">
        <f>M11/M16</f>
        <v/>
      </c>
      <c r="N21" s="35">
        <f>N11/N16</f>
        <v/>
      </c>
      <c r="O21" s="35">
        <f>O11/O16</f>
        <v/>
      </c>
      <c r="P21" s="35">
        <f>P11/P16</f>
        <v/>
      </c>
      <c r="Q21" s="57" t="n"/>
      <c r="R21" s="57" t="n"/>
      <c r="S21" s="57" t="n"/>
    </row>
    <row r="22">
      <c r="B22" s="68" t="inlineStr">
        <is>
          <t>EN PROCESO</t>
        </is>
      </c>
      <c r="D22" s="35">
        <f>(D13+D14)/D16</f>
        <v/>
      </c>
      <c r="E22" s="35">
        <f>(E13+E14)/E16</f>
        <v/>
      </c>
      <c r="F22" s="35">
        <f>(F13+F14)/F16</f>
        <v/>
      </c>
      <c r="G22" s="35">
        <f>(G13+G14)/G16</f>
        <v/>
      </c>
      <c r="H22" s="35">
        <f>(H13+H14)/H16</f>
        <v/>
      </c>
      <c r="I22" s="35">
        <f>(I13+I14)/I16</f>
        <v/>
      </c>
      <c r="J22" s="35">
        <f>(J13+J14)/J16</f>
        <v/>
      </c>
      <c r="K22" s="35">
        <f>(K13+K14)/K16</f>
        <v/>
      </c>
      <c r="L22" s="35">
        <f>(L13+L14)/L16</f>
        <v/>
      </c>
      <c r="M22" s="35">
        <f>(M13+M14)/M16</f>
        <v/>
      </c>
      <c r="N22" s="35">
        <f>(N13+N14)/N16</f>
        <v/>
      </c>
      <c r="O22" s="35">
        <f>(O13+O14)/O16</f>
        <v/>
      </c>
      <c r="P22" s="35">
        <f>(P13+P14)/P16</f>
        <v/>
      </c>
      <c r="Q22" s="57" t="n"/>
      <c r="R22" s="57" t="n"/>
      <c r="S22" s="57" t="n"/>
    </row>
    <row r="23">
      <c r="B23" s="68" t="inlineStr">
        <is>
          <t>OPORTUNIDAD</t>
        </is>
      </c>
      <c r="D23" s="35">
        <f>D20+D22</f>
        <v/>
      </c>
      <c r="E23" s="35">
        <f>E20+E22</f>
        <v/>
      </c>
      <c r="F23" s="35">
        <f>F20+F22</f>
        <v/>
      </c>
      <c r="G23" s="35">
        <f>G20+G22</f>
        <v/>
      </c>
      <c r="H23" s="35">
        <f>H20+H22</f>
        <v/>
      </c>
      <c r="I23" s="35">
        <f>I20+I22</f>
        <v/>
      </c>
      <c r="J23" s="35">
        <f>J20+J22</f>
        <v/>
      </c>
      <c r="K23" s="35">
        <f>K20+K22</f>
        <v/>
      </c>
      <c r="L23" s="35">
        <f>L20+L22</f>
        <v/>
      </c>
      <c r="M23" s="35">
        <f>M20+M22</f>
        <v/>
      </c>
      <c r="N23" s="35">
        <f>N20+N22</f>
        <v/>
      </c>
      <c r="O23" s="35">
        <f>O20+O22</f>
        <v/>
      </c>
      <c r="P23" s="35">
        <f>P20+P22</f>
        <v/>
      </c>
      <c r="Q23" s="57" t="n"/>
      <c r="R23" s="57" t="n"/>
      <c r="S23" s="57" t="n"/>
    </row>
  </sheetData>
  <mergeCells count="7">
    <mergeCell ref="B21:C21"/>
    <mergeCell ref="B19:C19"/>
    <mergeCell ref="B20:C20"/>
    <mergeCell ref="B23:C23"/>
    <mergeCell ref="B22:C22"/>
    <mergeCell ref="B1:P1"/>
    <mergeCell ref="B18:C18"/>
  </mergeCells>
  <conditionalFormatting sqref="B19 B23">
    <cfRule type="containsText" priority="1" operator="containsText" dxfId="62" text="error">
      <formula>NOT(ISERROR(SEARCH("error",B19)))</formula>
    </cfRule>
    <cfRule type="containsText" priority="2" operator="containsText" dxfId="61" text="ok">
      <formula>NOT(ISERROR(SEARCH("ok",B19)))</formula>
    </cfRule>
  </conditionalFormatting>
  <pageMargins left="0.7" right="0.7" top="0.75" bottom="0.75" header="0.3" footer="0.3"/>
  <headerFooter>
    <oddHeader>&amp;C&amp;"Calibri"&amp;1 &amp;K000000 BHP Confidential#_x000d_</oddHeader>
    <oddFooter/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"/>
  <sheetViews>
    <sheetView topLeftCell="U1128" workbookViewId="0">
      <selection activeCell="A2" sqref="A2:AD1150"/>
    </sheetView>
  </sheetViews>
  <sheetFormatPr baseColWidth="8" defaultColWidth="9.1796875" defaultRowHeight="12.5"/>
  <cols>
    <col width="17.1796875" customWidth="1" min="1" max="1"/>
    <col width="13" customWidth="1" min="2" max="2"/>
    <col width="12.1796875" customWidth="1" min="3" max="3"/>
    <col width="17.1796875" customWidth="1" min="4" max="4"/>
    <col width="29.54296875" customWidth="1" min="5" max="5"/>
    <col width="16.453125" customWidth="1" min="6" max="6"/>
    <col width="36" customWidth="1" min="7" max="7"/>
    <col width="32.453125" customWidth="1" min="8" max="8"/>
    <col width="18.81640625" customWidth="1" min="9" max="9"/>
    <col width="35.453125" customWidth="1" min="10" max="10"/>
    <col width="14.1796875" customWidth="1" min="11" max="11"/>
    <col width="21.7265625" customWidth="1" min="12" max="12"/>
    <col width="10.54296875" customWidth="1" min="13" max="13"/>
    <col width="32" customWidth="1" min="14" max="15"/>
    <col width="33.81640625" customWidth="1" min="16" max="16"/>
    <col width="23.54296875" customWidth="1" style="17" min="17" max="17"/>
    <col width="18.54296875" customWidth="1" style="17" min="18" max="18"/>
    <col width="26.453125" customWidth="1" style="17" min="19" max="19"/>
    <col width="28.1796875" customWidth="1" style="17" min="20" max="20"/>
    <col width="22.453125" customWidth="1" style="17" min="21" max="21"/>
    <col width="19.54296875" customWidth="1" min="22" max="22"/>
    <col width="15.54296875" customWidth="1" min="23" max="23"/>
    <col width="13" customWidth="1" min="24" max="24"/>
    <col width="7.7265625" customWidth="1" style="17" min="25" max="25"/>
    <col width="14" customWidth="1" min="26" max="26"/>
    <col width="11" customWidth="1" min="27" max="27"/>
    <col width="11.1796875" customWidth="1" min="28" max="28"/>
    <col width="15.54296875" customWidth="1" min="29" max="29"/>
  </cols>
  <sheetData>
    <row r="1" ht="11.5" customFormat="1" customHeight="1" s="1">
      <c r="A1" s="25" t="inlineStr">
        <is>
          <t>Region</t>
        </is>
      </c>
      <c r="B1" s="25" t="inlineStr">
        <is>
          <t>Asset</t>
        </is>
      </c>
      <c r="C1" s="22" t="inlineStr">
        <is>
          <t>Purch. Org. - Text</t>
        </is>
      </c>
      <c r="D1" s="22" t="inlineStr">
        <is>
          <t>Vendor(VN) - Key</t>
        </is>
      </c>
      <c r="E1" s="25" t="inlineStr">
        <is>
          <t>Vendor(VN) - Text</t>
        </is>
      </c>
      <c r="F1" s="22" t="inlineStr">
        <is>
          <t>IncoTerms - Key</t>
        </is>
      </c>
      <c r="G1" s="22" t="inlineStr">
        <is>
          <t>Inco term: Additional Information - Text</t>
        </is>
      </c>
      <c r="H1" s="22" t="inlineStr">
        <is>
          <t>Purchase Document Item No. - Key</t>
        </is>
      </c>
      <c r="I1" s="22" t="inlineStr">
        <is>
          <t>Purch. Group - Key</t>
        </is>
      </c>
      <c r="J1" s="36" t="inlineStr">
        <is>
          <t>Contract (Outline Agreement) No - Key</t>
        </is>
      </c>
      <c r="K1" s="25" t="inlineStr">
        <is>
          <t>Material - Key</t>
        </is>
      </c>
      <c r="L1" s="25" t="inlineStr">
        <is>
          <t>Material - Text</t>
        </is>
      </c>
      <c r="M1" s="25" t="inlineStr">
        <is>
          <t>Purchase Document Number - Key</t>
        </is>
      </c>
      <c r="N1" s="25" t="inlineStr">
        <is>
          <t>PO Item Quantity Order UOM</t>
        </is>
      </c>
      <c r="O1" s="22" t="inlineStr">
        <is>
          <t>Purch. Item Category - Text</t>
        </is>
      </c>
      <c r="P1" s="22" t="inlineStr">
        <is>
          <t>Indicator : Delivery Completion - Key</t>
        </is>
      </c>
      <c r="Q1" s="25" t="inlineStr">
        <is>
          <t>PO Document Date - Key</t>
        </is>
      </c>
      <c r="R1" s="36" t="inlineStr">
        <is>
          <t>Date : Calculated Delivery - Key</t>
        </is>
      </c>
      <c r="S1" s="22" t="inlineStr">
        <is>
          <t>Date: First GR Posting - Key</t>
        </is>
      </c>
      <c r="T1" s="25" t="inlineStr">
        <is>
          <t>Date: PO Statistical Delv - Key</t>
        </is>
      </c>
      <c r="U1" s="25" t="inlineStr">
        <is>
          <t>Date : PO Change - Key</t>
        </is>
      </c>
      <c r="V1" s="22" t="inlineStr">
        <is>
          <t>No. of PO Schd Line</t>
        </is>
      </c>
      <c r="W1" s="22" t="inlineStr">
        <is>
          <t>Count of DIFOT</t>
        </is>
      </c>
      <c r="X1" s="22" t="inlineStr">
        <is>
          <t>DIFOT%</t>
        </is>
      </c>
      <c r="Y1" s="26" t="inlineStr">
        <is>
          <t>SEMANA</t>
        </is>
      </c>
      <c r="Z1" s="26" t="inlineStr">
        <is>
          <t>MES</t>
        </is>
      </c>
      <c r="AA1" s="26" t="inlineStr">
        <is>
          <t>DELIVERY</t>
        </is>
      </c>
      <c r="AB1" s="26" t="inlineStr">
        <is>
          <t>DEADLINE</t>
        </is>
      </c>
      <c r="AC1" s="26" t="inlineStr">
        <is>
          <t>PERFORMANCE</t>
        </is>
      </c>
      <c r="AD1" s="26" t="inlineStr">
        <is>
          <t>AÑO</t>
        </is>
      </c>
    </row>
    <row r="2" ht="12.65" customHeight="1"/>
    <row r="3" ht="12.65" customHeight="1"/>
    <row r="4" ht="12.65" customHeight="1"/>
    <row r="5" ht="12.65" customHeight="1"/>
    <row r="6" ht="12.65" customHeight="1"/>
    <row r="7" ht="12.65" customHeight="1"/>
    <row r="8" ht="12.65" customHeight="1"/>
    <row r="9" ht="12.65" customHeight="1"/>
    <row r="10" ht="12.65" customHeight="1"/>
    <row r="11" ht="12.65" customHeight="1"/>
    <row r="12" ht="12.65" customHeight="1"/>
    <row r="13" ht="12.65" customHeight="1"/>
    <row r="14" ht="12.65" customHeight="1"/>
    <row r="15" ht="12.65" customHeight="1"/>
    <row r="16" ht="12.65" customHeight="1"/>
    <row r="17" ht="12.65" customHeight="1"/>
    <row r="18" ht="12.65" customHeight="1"/>
    <row r="19" ht="12.65" customHeight="1"/>
    <row r="20" ht="12.65" customHeight="1"/>
    <row r="21" ht="12.65" customHeight="1"/>
    <row r="22" ht="12.65" customHeight="1"/>
    <row r="23" ht="12.65" customHeight="1"/>
    <row r="24" ht="12.65" customHeight="1"/>
    <row r="25" ht="12.65" customHeight="1"/>
    <row r="26" ht="12.65" customHeight="1"/>
    <row r="27" ht="12.65" customHeight="1"/>
    <row r="28" ht="12.65" customHeight="1"/>
    <row r="29" ht="12.65" customHeight="1"/>
    <row r="30" ht="12.65" customHeight="1"/>
    <row r="31" ht="12.65" customHeight="1"/>
    <row r="32" ht="12.65" customHeight="1"/>
    <row r="33" ht="12.65" customHeight="1"/>
    <row r="34" ht="12.65" customHeight="1"/>
    <row r="35" ht="12.65" customHeight="1"/>
    <row r="36" ht="12.65" customHeight="1"/>
    <row r="37" ht="12.65" customHeight="1"/>
    <row r="38" ht="12.65" customHeight="1"/>
    <row r="39" ht="12.65" customHeight="1"/>
    <row r="40" ht="12.65" customHeight="1"/>
    <row r="41" ht="12.65" customHeight="1"/>
    <row r="42" ht="12.65" customHeight="1"/>
    <row r="43" ht="12.65" customHeight="1"/>
    <row r="44" ht="12.65" customHeight="1"/>
    <row r="45" ht="12.65" customHeight="1"/>
    <row r="46" ht="12.65" customHeight="1"/>
    <row r="47" ht="12.65" customHeight="1"/>
    <row r="48" ht="12.65" customHeight="1"/>
    <row r="49" ht="12.65" customHeight="1"/>
    <row r="50" ht="12.65" customHeight="1"/>
    <row r="51" ht="12.65" customHeight="1"/>
    <row r="52" ht="12.65" customHeight="1"/>
    <row r="53" ht="12.65" customHeight="1"/>
    <row r="54" ht="12.65" customHeight="1"/>
    <row r="55" ht="12.65" customHeight="1"/>
    <row r="56" ht="12.65" customHeight="1"/>
    <row r="57" ht="12.65" customHeight="1"/>
    <row r="58" ht="12.65" customHeight="1"/>
    <row r="59" ht="12.65" customHeight="1"/>
    <row r="60" ht="12.65" customHeight="1"/>
    <row r="61" ht="12.65" customHeight="1"/>
    <row r="62" ht="12.65" customHeight="1"/>
    <row r="63" ht="12.65" customHeight="1"/>
    <row r="64" ht="12.65" customHeight="1"/>
    <row r="65" ht="12.65" customHeight="1"/>
    <row r="66" ht="12.65" customHeight="1"/>
    <row r="67" ht="12.65" customHeight="1"/>
    <row r="68" ht="12.65" customHeight="1"/>
    <row r="69" ht="12.65" customHeight="1"/>
    <row r="70" ht="12.65" customHeight="1"/>
    <row r="71" ht="12.65" customHeight="1"/>
    <row r="72" ht="12.65" customHeight="1"/>
    <row r="73" ht="12.65" customHeight="1"/>
    <row r="74" ht="12.65" customHeight="1"/>
    <row r="75" ht="12.65" customHeight="1"/>
    <row r="76" ht="12.65" customHeight="1"/>
    <row r="77" ht="12.65" customHeight="1"/>
    <row r="78" ht="12.65" customHeight="1"/>
    <row r="79" ht="12.65" customHeight="1"/>
    <row r="80" ht="12.65" customHeight="1"/>
    <row r="81" ht="12.65" customHeight="1"/>
    <row r="82" ht="12.65" customHeight="1"/>
    <row r="83" ht="12.65" customHeight="1"/>
    <row r="84" ht="12.65" customHeight="1"/>
    <row r="85" ht="12.65" customHeight="1"/>
    <row r="86" ht="12.65" customHeight="1"/>
    <row r="87" ht="12.65" customHeight="1"/>
    <row r="88" ht="12.65" customHeight="1"/>
    <row r="89" ht="12.65" customHeight="1"/>
    <row r="90" ht="12.65" customHeight="1"/>
    <row r="91" ht="12.65" customHeight="1"/>
    <row r="92" ht="12.65" customHeight="1"/>
    <row r="93" ht="12.65" customHeight="1"/>
    <row r="94" ht="12.65" customHeight="1"/>
    <row r="95" ht="12.65" customHeight="1"/>
    <row r="96" ht="12.65" customHeight="1"/>
    <row r="97" ht="12.65" customHeight="1"/>
    <row r="98" ht="12.65" customHeight="1"/>
    <row r="99" ht="12.65" customHeight="1"/>
    <row r="100" ht="12.65" customHeight="1"/>
    <row r="101" ht="12.65" customHeight="1"/>
    <row r="102" ht="12.65" customHeight="1"/>
    <row r="103" ht="12.65" customHeight="1"/>
    <row r="104" ht="12.65" customHeight="1"/>
    <row r="105" ht="12.65" customHeight="1"/>
    <row r="106" ht="12.65" customHeight="1"/>
    <row r="107" ht="12.65" customHeight="1"/>
    <row r="108" ht="12.65" customHeight="1"/>
    <row r="109" ht="12.65" customHeight="1"/>
    <row r="110" ht="12.65" customHeight="1"/>
    <row r="111" ht="12.65" customHeight="1"/>
    <row r="112" ht="12.65" customHeight="1"/>
    <row r="113" ht="12.65" customHeight="1"/>
    <row r="114" ht="12.65" customHeight="1"/>
    <row r="115" ht="12.65" customHeight="1"/>
    <row r="116" ht="12.65" customHeight="1"/>
    <row r="117" ht="12.65" customHeight="1"/>
    <row r="118" ht="12.65" customHeight="1"/>
    <row r="119" ht="12.65" customHeight="1"/>
    <row r="120" ht="12.65" customHeight="1"/>
    <row r="121" ht="12.65" customHeight="1"/>
    <row r="122" ht="12.65" customHeight="1"/>
    <row r="123" ht="12.65" customHeight="1"/>
    <row r="124" ht="12.65" customHeight="1"/>
    <row r="125" ht="12.65" customHeight="1"/>
    <row r="126" ht="12.65" customHeight="1"/>
    <row r="127" ht="12.65" customHeight="1"/>
    <row r="128" ht="12.65" customHeight="1"/>
    <row r="129" ht="12.65" customHeight="1"/>
    <row r="130" ht="12.65" customHeight="1"/>
    <row r="131" ht="12.65" customHeight="1"/>
    <row r="132" ht="12.65" customHeight="1"/>
    <row r="133" ht="12.65" customHeight="1"/>
    <row r="134" ht="12.65" customHeight="1"/>
    <row r="135" ht="12.65" customHeight="1"/>
    <row r="136" ht="12.65" customHeight="1"/>
    <row r="137" ht="12.65" customHeight="1"/>
    <row r="138" ht="12.65" customHeight="1"/>
    <row r="139" ht="12.65" customHeight="1"/>
    <row r="140" ht="12.65" customHeight="1"/>
    <row r="141" ht="12.65" customHeight="1"/>
    <row r="142" ht="12.65" customHeight="1"/>
    <row r="143" ht="12.65" customHeight="1"/>
    <row r="144" ht="12.65" customHeight="1"/>
    <row r="145" ht="12.65" customHeight="1"/>
    <row r="146" ht="12.65" customHeight="1"/>
    <row r="147" ht="12.65" customHeight="1"/>
    <row r="148" ht="12.65" customHeight="1"/>
    <row r="149" ht="12.65" customHeight="1"/>
    <row r="150" ht="12.65" customHeight="1"/>
    <row r="151" ht="12.65" customHeight="1"/>
    <row r="152" ht="12.65" customHeight="1"/>
    <row r="153" ht="12.65" customHeight="1"/>
    <row r="154" ht="12.65" customHeight="1"/>
    <row r="155" ht="12.65" customHeight="1"/>
    <row r="156" ht="12.65" customHeight="1"/>
    <row r="157" ht="12.65" customHeight="1"/>
    <row r="158" ht="12.65" customHeight="1"/>
    <row r="159" ht="12.65" customHeight="1"/>
    <row r="160" ht="12.65" customHeight="1"/>
    <row r="161" ht="12.65" customHeight="1"/>
    <row r="162" ht="12.65" customHeight="1"/>
    <row r="163" ht="12.65" customHeight="1"/>
    <row r="164" ht="12.65" customHeight="1"/>
    <row r="165" ht="12.65" customHeight="1"/>
    <row r="166" ht="12.65" customHeight="1"/>
    <row r="167" ht="12.65" customHeight="1"/>
    <row r="168" ht="12.65" customHeight="1"/>
    <row r="169" ht="12.65" customHeight="1"/>
    <row r="170" ht="12.65" customHeight="1"/>
    <row r="171" ht="12.65" customHeight="1"/>
    <row r="172" ht="12.65" customHeight="1"/>
    <row r="173" ht="12.65" customHeight="1"/>
    <row r="174" ht="12.65" customHeight="1"/>
    <row r="175" ht="12.65" customHeight="1"/>
    <row r="176" ht="12.65" customHeight="1"/>
    <row r="177" ht="12.65" customHeight="1"/>
    <row r="178" ht="12.65" customHeight="1"/>
    <row r="179" ht="12.65" customHeight="1"/>
    <row r="180" ht="12.65" customHeight="1"/>
    <row r="181" ht="12.65" customHeight="1"/>
    <row r="182" ht="12.65" customHeight="1"/>
    <row r="183" ht="12.65" customHeight="1"/>
    <row r="184" ht="12.65" customHeight="1"/>
  </sheetData>
  <pageMargins left="0.7" right="0.7" top="0.75" bottom="0.75" header="0.3" footer="0.3"/>
  <pageSetup orientation="landscape" paperSize="8"/>
  <headerFooter alignWithMargins="0">
    <oddHeader>&amp;C&amp;"Calibri"&amp;1 &amp;K000000 BHP Confidential#_x000d_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Agono, Gilmin</dc:creator>
  <dcterms:created xsi:type="dcterms:W3CDTF">2025-01-09T20:40:50Z</dcterms:created>
  <dcterms:modified xsi:type="dcterms:W3CDTF">2026-09-02T19:29:55Z</dcterms:modified>
  <cp:lastModifiedBy>Maricel Tolosa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79bf2480-ad35-4243-acf4-be8b6731806e_Enabled" fmtid="{D5CDD505-2E9C-101B-9397-08002B2CF9AE}" pid="2">
    <vt:lpwstr>true</vt:lpwstr>
  </property>
  <property name="MSIP_Label_79bf2480-ad35-4243-acf4-be8b6731806e_SetDate" fmtid="{D5CDD505-2E9C-101B-9397-08002B2CF9AE}" pid="3">
    <vt:lpwstr>2025-01-09T22:34:59Z</vt:lpwstr>
  </property>
  <property name="MSIP_Label_79bf2480-ad35-4243-acf4-be8b6731806e_Method" fmtid="{D5CDD505-2E9C-101B-9397-08002B2CF9AE}" pid="4">
    <vt:lpwstr>Privileged</vt:lpwstr>
  </property>
  <property name="MSIP_Label_79bf2480-ad35-4243-acf4-be8b6731806e_Name" fmtid="{D5CDD505-2E9C-101B-9397-08002B2CF9AE}" pid="5">
    <vt:lpwstr>BHP_Confidential_UnProtected</vt:lpwstr>
  </property>
  <property name="MSIP_Label_79bf2480-ad35-4243-acf4-be8b6731806e_SiteId" fmtid="{D5CDD505-2E9C-101B-9397-08002B2CF9AE}" pid="6">
    <vt:lpwstr>4f6e1565-c2c7-43cb-8a4c-0981d022ce20</vt:lpwstr>
  </property>
  <property name="MSIP_Label_79bf2480-ad35-4243-acf4-be8b6731806e_ActionId" fmtid="{D5CDD505-2E9C-101B-9397-08002B2CF9AE}" pid="7">
    <vt:lpwstr>9645b000-d725-4794-a843-06602682e7a8</vt:lpwstr>
  </property>
  <property name="MSIP_Label_79bf2480-ad35-4243-acf4-be8b6731806e_ContentBits" fmtid="{D5CDD505-2E9C-101B-9397-08002B2CF9AE}" pid="8">
    <vt:lpwstr>1</vt:lpwstr>
  </property>
</Properties>
</file>